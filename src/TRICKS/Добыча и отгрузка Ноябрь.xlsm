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0" yWindow="120" windowWidth="12048" windowHeight="4932"/>
  </bookViews>
  <sheets>
    <sheet name="Сводка" sheetId="1" r:id="rId1"/>
    <sheet name="Т" sheetId="2" r:id="rId2"/>
    <sheet name="Г" sheetId="4" r:id="rId3"/>
    <sheet name="О" sheetId="5" r:id="rId4"/>
    <sheet name="Р" sheetId="6" r:id="rId5"/>
    <sheet name="Э" sheetId="7" r:id="rId6"/>
    <sheet name="Исходные данные" sheetId="3" r:id="rId7"/>
    <sheet name="Лист1" sheetId="8" r:id="rId8"/>
    <sheet name="Лист2" sheetId="9" r:id="rId9"/>
    <sheet name=" " sheetId="10" state="hidden" r:id="rId10"/>
  </sheets>
  <definedNames>
    <definedName name="_xlnm.Print_Area" localSheetId="8">Лист2!$B$1:$AL$17</definedName>
    <definedName name="_xlnm.Print_Area" localSheetId="0">Сводка!$P$1:$AI$39</definedName>
  </definedNames>
  <calcPr calcId="144525"/>
</workbook>
</file>

<file path=xl/calcChain.xml><?xml version="1.0" encoding="utf-8"?>
<calcChain xmlns="http://schemas.openxmlformats.org/spreadsheetml/2006/main">
  <c r="J39" i="1" l="1"/>
  <c r="J38" i="1"/>
  <c r="J37" i="1"/>
  <c r="J36" i="1"/>
  <c r="M39" i="1"/>
  <c r="AT25" i="1" l="1"/>
  <c r="AQ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T7" i="1"/>
  <c r="AT6" i="1"/>
  <c r="AV5" i="1"/>
  <c r="AQ5" i="1"/>
  <c r="AT29" i="1" l="1"/>
  <c r="AT28" i="1"/>
  <c r="AT30" i="1"/>
  <c r="AT27" i="1"/>
  <c r="K27" i="1"/>
  <c r="AT31" i="1" l="1"/>
  <c r="H15" i="8"/>
  <c r="H12" i="8"/>
  <c r="H10" i="8"/>
  <c r="H7" i="8"/>
  <c r="AJ12" i="9" l="1"/>
  <c r="AI12" i="9"/>
  <c r="AH11" i="9"/>
  <c r="AH10" i="9"/>
  <c r="AH9" i="9"/>
  <c r="AH8" i="9"/>
  <c r="AH7" i="9"/>
  <c r="AH6" i="9"/>
  <c r="AH12" i="9" l="1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T11" i="1" l="1"/>
  <c r="AB16" i="1" l="1"/>
  <c r="Z16" i="1"/>
  <c r="E27" i="3" l="1"/>
  <c r="G15" i="8" l="1"/>
  <c r="G12" i="8"/>
  <c r="G10" i="8"/>
  <c r="G7" i="8"/>
  <c r="Z12" i="6" l="1"/>
  <c r="W22" i="6" l="1"/>
  <c r="AK3" i="1" l="1"/>
  <c r="AE14" i="1" l="1"/>
  <c r="AE13" i="1"/>
  <c r="AE12" i="1"/>
  <c r="M24" i="1" l="1"/>
  <c r="M23" i="1"/>
  <c r="M22" i="1"/>
  <c r="M21" i="1"/>
  <c r="M26" i="1"/>
  <c r="N39" i="1" s="1"/>
  <c r="M19" i="1"/>
  <c r="M18" i="1"/>
  <c r="M17" i="1"/>
  <c r="M16" i="1"/>
  <c r="M14" i="1"/>
  <c r="M13" i="1"/>
  <c r="M12" i="1"/>
  <c r="M11" i="1"/>
  <c r="M9" i="1"/>
  <c r="M8" i="1"/>
  <c r="M7" i="1"/>
  <c r="M6" i="1"/>
  <c r="M27" i="1" l="1"/>
  <c r="M28" i="1"/>
  <c r="M29" i="1"/>
  <c r="M30" i="1"/>
  <c r="U37" i="1" l="1"/>
  <c r="U36" i="1"/>
  <c r="U35" i="1"/>
  <c r="U38" i="1"/>
  <c r="AK9" i="1"/>
  <c r="AK7" i="1"/>
  <c r="AK6" i="1"/>
  <c r="Z34" i="1" l="1"/>
  <c r="V34" i="1"/>
  <c r="P1" i="1" l="1"/>
  <c r="AK8" i="1"/>
  <c r="AK5" i="1"/>
  <c r="AK4" i="1"/>
  <c r="AH24" i="1" l="1"/>
  <c r="AU24" i="1" s="1"/>
  <c r="AH23" i="1"/>
  <c r="AU23" i="1" s="1"/>
  <c r="AH22" i="1"/>
  <c r="AU22" i="1" s="1"/>
  <c r="AH21" i="1"/>
  <c r="AU21" i="1" s="1"/>
  <c r="AH38" i="1"/>
  <c r="AU26" i="1" s="1"/>
  <c r="AW26" i="1" s="1"/>
  <c r="AH35" i="1"/>
  <c r="AH37" i="1"/>
  <c r="AE24" i="1"/>
  <c r="AE23" i="1"/>
  <c r="AE22" i="1"/>
  <c r="AE21" i="1"/>
  <c r="AC21" i="1"/>
  <c r="AS21" i="1" s="1"/>
  <c r="AB21" i="1"/>
  <c r="AA21" i="1"/>
  <c r="AR21" i="1" s="1"/>
  <c r="Z21" i="1"/>
  <c r="X24" i="1"/>
  <c r="AP24" i="1" s="1"/>
  <c r="X23" i="1"/>
  <c r="AP23" i="1" s="1"/>
  <c r="X22" i="1"/>
  <c r="AP22" i="1" s="1"/>
  <c r="X21" i="1"/>
  <c r="AP21" i="1" s="1"/>
  <c r="W24" i="1"/>
  <c r="AO24" i="1" s="1"/>
  <c r="W23" i="1"/>
  <c r="AO23" i="1" s="1"/>
  <c r="AQ23" i="1" s="1"/>
  <c r="W22" i="1"/>
  <c r="AO22" i="1" s="1"/>
  <c r="W21" i="1"/>
  <c r="AO21" i="1" s="1"/>
  <c r="U24" i="1"/>
  <c r="U23" i="1"/>
  <c r="U22" i="1"/>
  <c r="U21" i="1"/>
  <c r="T24" i="1"/>
  <c r="T23" i="1"/>
  <c r="T22" i="1"/>
  <c r="T21" i="1"/>
  <c r="AH19" i="1"/>
  <c r="AU19" i="1" s="1"/>
  <c r="AH18" i="1"/>
  <c r="AU18" i="1" s="1"/>
  <c r="AH17" i="1"/>
  <c r="AU17" i="1" s="1"/>
  <c r="AH16" i="1"/>
  <c r="AU16" i="1" s="1"/>
  <c r="AE19" i="1"/>
  <c r="AE18" i="1"/>
  <c r="AE17" i="1"/>
  <c r="AE16" i="1"/>
  <c r="AC16" i="1"/>
  <c r="AS16" i="1" s="1"/>
  <c r="AA16" i="1"/>
  <c r="AR16" i="1" s="1"/>
  <c r="X19" i="1"/>
  <c r="AP19" i="1" s="1"/>
  <c r="X18" i="1"/>
  <c r="AP18" i="1" s="1"/>
  <c r="X17" i="1"/>
  <c r="AP17" i="1" s="1"/>
  <c r="X16" i="1"/>
  <c r="AP16" i="1" s="1"/>
  <c r="W19" i="1"/>
  <c r="AO19" i="1" s="1"/>
  <c r="W18" i="1"/>
  <c r="AO18" i="1" s="1"/>
  <c r="W17" i="1"/>
  <c r="AO17" i="1" s="1"/>
  <c r="W16" i="1"/>
  <c r="AO16" i="1" s="1"/>
  <c r="U19" i="1"/>
  <c r="U18" i="1"/>
  <c r="U17" i="1"/>
  <c r="U16" i="1"/>
  <c r="T19" i="1"/>
  <c r="T18" i="1"/>
  <c r="T17" i="1"/>
  <c r="T16" i="1"/>
  <c r="AQ21" i="1" l="1"/>
  <c r="AQ17" i="1"/>
  <c r="AW19" i="1"/>
  <c r="AV19" i="1"/>
  <c r="AQ24" i="1"/>
  <c r="AW21" i="1"/>
  <c r="AU25" i="1"/>
  <c r="AV21" i="1"/>
  <c r="AQ18" i="1"/>
  <c r="AW16" i="1"/>
  <c r="AV16" i="1"/>
  <c r="AU20" i="1"/>
  <c r="AW22" i="1"/>
  <c r="AV22" i="1"/>
  <c r="AQ19" i="1"/>
  <c r="AW17" i="1"/>
  <c r="AV17" i="1"/>
  <c r="AQ22" i="1"/>
  <c r="AW23" i="1"/>
  <c r="AV23" i="1"/>
  <c r="AO20" i="1"/>
  <c r="AP20" i="1"/>
  <c r="AQ16" i="1"/>
  <c r="AW18" i="1"/>
  <c r="AV18" i="1"/>
  <c r="AW24" i="1"/>
  <c r="AV24" i="1"/>
  <c r="AH34" i="1"/>
  <c r="AH36" i="1" s="1"/>
  <c r="AH39" i="1"/>
  <c r="K29" i="1"/>
  <c r="AH14" i="1"/>
  <c r="AU14" i="1" s="1"/>
  <c r="AH13" i="1"/>
  <c r="AU13" i="1" s="1"/>
  <c r="AH12" i="1"/>
  <c r="AU12" i="1" s="1"/>
  <c r="AH11" i="1"/>
  <c r="AU11" i="1" s="1"/>
  <c r="AE11" i="1"/>
  <c r="AC11" i="1"/>
  <c r="AS11" i="1" s="1"/>
  <c r="AB11" i="1"/>
  <c r="AA11" i="1"/>
  <c r="AR11" i="1" s="1"/>
  <c r="Z11" i="1"/>
  <c r="X6" i="1"/>
  <c r="AP6" i="1" s="1"/>
  <c r="X12" i="1"/>
  <c r="AP12" i="1" s="1"/>
  <c r="X13" i="1"/>
  <c r="AP13" i="1" s="1"/>
  <c r="X14" i="1"/>
  <c r="AP14" i="1" s="1"/>
  <c r="X11" i="1"/>
  <c r="AP11" i="1" s="1"/>
  <c r="W12" i="1"/>
  <c r="AO12" i="1" s="1"/>
  <c r="W13" i="1"/>
  <c r="AO13" i="1" s="1"/>
  <c r="W14" i="1"/>
  <c r="AO14" i="1" s="1"/>
  <c r="W11" i="1"/>
  <c r="AO11" i="1" s="1"/>
  <c r="U12" i="1"/>
  <c r="U13" i="1"/>
  <c r="U14" i="1"/>
  <c r="U11" i="1"/>
  <c r="T12" i="1"/>
  <c r="T13" i="1"/>
  <c r="T14" i="1"/>
  <c r="E30" i="3"/>
  <c r="F30" i="3" s="1"/>
  <c r="E29" i="3"/>
  <c r="F29" i="3" s="1"/>
  <c r="E28" i="3"/>
  <c r="F28" i="3" s="1"/>
  <c r="D30" i="3"/>
  <c r="R29" i="1" s="1"/>
  <c r="D29" i="3"/>
  <c r="R28" i="1" s="1"/>
  <c r="D28" i="3"/>
  <c r="R27" i="1" s="1"/>
  <c r="D27" i="3"/>
  <c r="R26" i="1" s="1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E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D14" i="6"/>
  <c r="D15" i="6"/>
  <c r="D16" i="6"/>
  <c r="D13" i="6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D14" i="5"/>
  <c r="J17" i="1" s="1"/>
  <c r="L17" i="1" s="1"/>
  <c r="D15" i="5"/>
  <c r="D16" i="5"/>
  <c r="D13" i="5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D14" i="4"/>
  <c r="J12" i="1" s="1"/>
  <c r="L12" i="1" s="1"/>
  <c r="D15" i="4"/>
  <c r="D16" i="4"/>
  <c r="D13" i="4"/>
  <c r="AH22" i="6"/>
  <c r="AG22" i="6"/>
  <c r="AF22" i="6"/>
  <c r="AE22" i="6"/>
  <c r="AD22" i="6"/>
  <c r="AC22" i="6"/>
  <c r="AB22" i="6"/>
  <c r="AA22" i="6"/>
  <c r="Z22" i="6"/>
  <c r="Y22" i="6"/>
  <c r="X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AH12" i="6"/>
  <c r="AG12" i="6"/>
  <c r="AF12" i="6"/>
  <c r="AE12" i="6"/>
  <c r="AD12" i="6"/>
  <c r="AC12" i="6"/>
  <c r="AB12" i="6"/>
  <c r="AA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AH7" i="1"/>
  <c r="AU7" i="1" s="1"/>
  <c r="AH8" i="1"/>
  <c r="AU8" i="1" s="1"/>
  <c r="AH9" i="1"/>
  <c r="AU9" i="1" s="1"/>
  <c r="AH6" i="1"/>
  <c r="AU6" i="1" s="1"/>
  <c r="U7" i="1"/>
  <c r="U8" i="1"/>
  <c r="U9" i="1"/>
  <c r="U6" i="1"/>
  <c r="AE9" i="1"/>
  <c r="AE29" i="1" s="1"/>
  <c r="AE8" i="1"/>
  <c r="AE28" i="1" s="1"/>
  <c r="AE7" i="1"/>
  <c r="AE27" i="1" s="1"/>
  <c r="AE6" i="1"/>
  <c r="G24" i="1"/>
  <c r="G23" i="1"/>
  <c r="G22" i="1"/>
  <c r="G21" i="1"/>
  <c r="G19" i="1"/>
  <c r="G18" i="1"/>
  <c r="G17" i="1"/>
  <c r="G16" i="1"/>
  <c r="G14" i="1"/>
  <c r="G13" i="1"/>
  <c r="G12" i="1"/>
  <c r="G11" i="1"/>
  <c r="G9" i="1"/>
  <c r="G8" i="1"/>
  <c r="G7" i="1"/>
  <c r="G6" i="1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D14" i="2"/>
  <c r="D15" i="2"/>
  <c r="D16" i="2"/>
  <c r="D13" i="2"/>
  <c r="J6" i="1" s="1"/>
  <c r="AC6" i="1"/>
  <c r="AS6" i="1" s="1"/>
  <c r="AB6" i="1"/>
  <c r="AA6" i="1"/>
  <c r="AR6" i="1" s="1"/>
  <c r="AR27" i="1" s="1"/>
  <c r="Z6" i="1"/>
  <c r="Y24" i="1"/>
  <c r="Y23" i="1"/>
  <c r="Y22" i="1"/>
  <c r="Y21" i="1"/>
  <c r="Y19" i="1"/>
  <c r="Y18" i="1"/>
  <c r="Y17" i="1"/>
  <c r="Y16" i="1"/>
  <c r="V24" i="1"/>
  <c r="V23" i="1"/>
  <c r="V22" i="1"/>
  <c r="V21" i="1"/>
  <c r="V19" i="1"/>
  <c r="V18" i="1"/>
  <c r="V17" i="1"/>
  <c r="V16" i="1"/>
  <c r="T6" i="1"/>
  <c r="X9" i="1"/>
  <c r="AP9" i="1" s="1"/>
  <c r="W9" i="1"/>
  <c r="AO9" i="1" s="1"/>
  <c r="X8" i="1"/>
  <c r="AP8" i="1" s="1"/>
  <c r="W8" i="1"/>
  <c r="AO8" i="1" s="1"/>
  <c r="AO29" i="1" s="1"/>
  <c r="X7" i="1"/>
  <c r="AP7" i="1" s="1"/>
  <c r="W7" i="1"/>
  <c r="AO7" i="1" s="1"/>
  <c r="AO28" i="1" s="1"/>
  <c r="W6" i="1"/>
  <c r="AO6" i="1" s="1"/>
  <c r="T9" i="1"/>
  <c r="T8" i="1"/>
  <c r="T7" i="1"/>
  <c r="R24" i="1"/>
  <c r="S24" i="1" s="1"/>
  <c r="R23" i="1"/>
  <c r="S23" i="1" s="1"/>
  <c r="R22" i="1"/>
  <c r="S22" i="1" s="1"/>
  <c r="R21" i="1"/>
  <c r="S21" i="1" s="1"/>
  <c r="R19" i="1"/>
  <c r="S19" i="1" s="1"/>
  <c r="R18" i="1"/>
  <c r="S18" i="1" s="1"/>
  <c r="R17" i="1"/>
  <c r="S17" i="1" s="1"/>
  <c r="R16" i="1"/>
  <c r="S16" i="1" s="1"/>
  <c r="R14" i="1"/>
  <c r="R13" i="1"/>
  <c r="R12" i="1"/>
  <c r="R11" i="1"/>
  <c r="R9" i="1"/>
  <c r="R8" i="1"/>
  <c r="R7" i="1"/>
  <c r="R6" i="1"/>
  <c r="E25" i="3"/>
  <c r="D25" i="3"/>
  <c r="E20" i="3"/>
  <c r="D20" i="3"/>
  <c r="E15" i="3"/>
  <c r="E17" i="4" s="1"/>
  <c r="D15" i="3"/>
  <c r="E10" i="3"/>
  <c r="F10" i="3" s="1"/>
  <c r="D10" i="3"/>
  <c r="AI5" i="1"/>
  <c r="AF5" i="1"/>
  <c r="Y5" i="1"/>
  <c r="V5" i="1"/>
  <c r="I27" i="1"/>
  <c r="H27" i="1"/>
  <c r="L5" i="1"/>
  <c r="G5" i="1"/>
  <c r="K28" i="1"/>
  <c r="K30" i="1"/>
  <c r="F30" i="1"/>
  <c r="F29" i="1"/>
  <c r="F28" i="1"/>
  <c r="F27" i="1"/>
  <c r="E30" i="1"/>
  <c r="E29" i="1"/>
  <c r="E28" i="1"/>
  <c r="E27" i="1"/>
  <c r="K25" i="1"/>
  <c r="K20" i="1"/>
  <c r="F20" i="1"/>
  <c r="E20" i="1"/>
  <c r="K15" i="1"/>
  <c r="F15" i="1"/>
  <c r="E15" i="1"/>
  <c r="K10" i="1"/>
  <c r="F10" i="1"/>
  <c r="E10" i="1"/>
  <c r="AQ14" i="1" l="1"/>
  <c r="AS27" i="1"/>
  <c r="AP30" i="1"/>
  <c r="AO15" i="1"/>
  <c r="AQ20" i="1"/>
  <c r="AW7" i="1"/>
  <c r="AU28" i="1"/>
  <c r="AV28" i="1" s="1"/>
  <c r="AV7" i="1"/>
  <c r="AQ12" i="1"/>
  <c r="AW12" i="1"/>
  <c r="AV12" i="1"/>
  <c r="AO27" i="1"/>
  <c r="AO10" i="1"/>
  <c r="AP29" i="1"/>
  <c r="AQ29" i="1" s="1"/>
  <c r="AQ8" i="1"/>
  <c r="AU10" i="1"/>
  <c r="AU27" i="1"/>
  <c r="AW6" i="1"/>
  <c r="AV6" i="1"/>
  <c r="AP15" i="1"/>
  <c r="AQ15" i="1" s="1"/>
  <c r="AQ11" i="1"/>
  <c r="AP27" i="1"/>
  <c r="AP10" i="1"/>
  <c r="AQ6" i="1"/>
  <c r="AW13" i="1"/>
  <c r="AV13" i="1"/>
  <c r="AV20" i="1"/>
  <c r="AW20" i="1"/>
  <c r="AQ9" i="1"/>
  <c r="AO30" i="1"/>
  <c r="AV9" i="1"/>
  <c r="AU30" i="1"/>
  <c r="AV30" i="1" s="1"/>
  <c r="AW9" i="1"/>
  <c r="AW14" i="1"/>
  <c r="AV14" i="1"/>
  <c r="AW25" i="1"/>
  <c r="AV25" i="1"/>
  <c r="AP28" i="1"/>
  <c r="AQ28" i="1" s="1"/>
  <c r="AQ7" i="1"/>
  <c r="AU29" i="1"/>
  <c r="AV29" i="1" s="1"/>
  <c r="AW8" i="1"/>
  <c r="AW29" i="1" s="1"/>
  <c r="AV8" i="1"/>
  <c r="AQ13" i="1"/>
  <c r="AU15" i="1"/>
  <c r="AV11" i="1"/>
  <c r="AW11" i="1"/>
  <c r="J22" i="1"/>
  <c r="L22" i="1" s="1"/>
  <c r="J14" i="1"/>
  <c r="L14" i="1" s="1"/>
  <c r="J19" i="1"/>
  <c r="L19" i="1" s="1"/>
  <c r="J24" i="1"/>
  <c r="L24" i="1" s="1"/>
  <c r="S6" i="1"/>
  <c r="J11" i="1"/>
  <c r="L11" i="1" s="1"/>
  <c r="J21" i="1"/>
  <c r="L21" i="1" s="1"/>
  <c r="J18" i="1"/>
  <c r="L18" i="1" s="1"/>
  <c r="J23" i="1"/>
  <c r="L23" i="1" s="1"/>
  <c r="S7" i="1"/>
  <c r="S9" i="1"/>
  <c r="S13" i="1"/>
  <c r="S12" i="1"/>
  <c r="S14" i="1"/>
  <c r="S11" i="1"/>
  <c r="S8" i="1"/>
  <c r="E17" i="6"/>
  <c r="F25" i="3"/>
  <c r="F17" i="5"/>
  <c r="F20" i="3"/>
  <c r="AG17" i="4"/>
  <c r="Y17" i="4"/>
  <c r="Q17" i="4"/>
  <c r="I17" i="4"/>
  <c r="AE17" i="4"/>
  <c r="W17" i="4"/>
  <c r="O17" i="4"/>
  <c r="G17" i="4"/>
  <c r="AC17" i="4"/>
  <c r="U17" i="4"/>
  <c r="M17" i="4"/>
  <c r="H17" i="4"/>
  <c r="F15" i="3"/>
  <c r="AA17" i="4"/>
  <c r="S17" i="4"/>
  <c r="K17" i="4"/>
  <c r="E17" i="2"/>
  <c r="AD8" i="1"/>
  <c r="AF8" i="1" s="1"/>
  <c r="AG13" i="1"/>
  <c r="AI13" i="1" s="1"/>
  <c r="J13" i="1"/>
  <c r="L13" i="1" s="1"/>
  <c r="AD13" i="1"/>
  <c r="AF13" i="1" s="1"/>
  <c r="AG16" i="1"/>
  <c r="AI16" i="1" s="1"/>
  <c r="J16" i="1"/>
  <c r="L16" i="1" s="1"/>
  <c r="AD16" i="1"/>
  <c r="AF16" i="1" s="1"/>
  <c r="M10" i="1"/>
  <c r="S25" i="1"/>
  <c r="D39" i="1" s="1"/>
  <c r="G39" i="1" s="1"/>
  <c r="W26" i="1"/>
  <c r="S20" i="1"/>
  <c r="D38" i="1" s="1"/>
  <c r="G38" i="1" s="1"/>
  <c r="Y38" i="1"/>
  <c r="AE15" i="1"/>
  <c r="T10" i="1"/>
  <c r="T35" i="1" s="1"/>
  <c r="V35" i="1" s="1"/>
  <c r="Y36" i="1"/>
  <c r="Y37" i="1"/>
  <c r="Y35" i="1"/>
  <c r="M25" i="1"/>
  <c r="M15" i="1"/>
  <c r="M20" i="1"/>
  <c r="T27" i="1"/>
  <c r="Y11" i="1"/>
  <c r="U26" i="1"/>
  <c r="AG17" i="1"/>
  <c r="AI17" i="1" s="1"/>
  <c r="AG7" i="1"/>
  <c r="AI7" i="1" s="1"/>
  <c r="AB26" i="1"/>
  <c r="V12" i="1"/>
  <c r="U27" i="1"/>
  <c r="X15" i="1"/>
  <c r="AE10" i="1"/>
  <c r="R25" i="1"/>
  <c r="R20" i="1"/>
  <c r="R15" i="1"/>
  <c r="R10" i="1"/>
  <c r="T28" i="1"/>
  <c r="AH15" i="1"/>
  <c r="Q36" i="1" s="1"/>
  <c r="W15" i="1"/>
  <c r="AH10" i="1"/>
  <c r="Q35" i="1" s="1"/>
  <c r="U10" i="1"/>
  <c r="AE26" i="1"/>
  <c r="Z26" i="1"/>
  <c r="U29" i="1"/>
  <c r="X29" i="1"/>
  <c r="AD18" i="1"/>
  <c r="AF18" i="1" s="1"/>
  <c r="AF17" i="6"/>
  <c r="AB17" i="6"/>
  <c r="X17" i="6"/>
  <c r="T17" i="6"/>
  <c r="P17" i="6"/>
  <c r="L17" i="6"/>
  <c r="H17" i="6"/>
  <c r="AE17" i="6"/>
  <c r="AA17" i="6"/>
  <c r="W17" i="6"/>
  <c r="S17" i="6"/>
  <c r="O17" i="6"/>
  <c r="K17" i="6"/>
  <c r="G17" i="6"/>
  <c r="D17" i="6"/>
  <c r="AH17" i="6"/>
  <c r="AD17" i="6"/>
  <c r="Z17" i="6"/>
  <c r="V17" i="6"/>
  <c r="R17" i="6"/>
  <c r="N17" i="6"/>
  <c r="J17" i="6"/>
  <c r="F17" i="6"/>
  <c r="AG17" i="6"/>
  <c r="AC17" i="6"/>
  <c r="Y17" i="6"/>
  <c r="U17" i="6"/>
  <c r="Q17" i="6"/>
  <c r="M17" i="6"/>
  <c r="I17" i="6"/>
  <c r="J17" i="5"/>
  <c r="AG17" i="5"/>
  <c r="AC17" i="5"/>
  <c r="Y17" i="5"/>
  <c r="U17" i="5"/>
  <c r="Q17" i="5"/>
  <c r="M17" i="5"/>
  <c r="I17" i="5"/>
  <c r="E17" i="5"/>
  <c r="AF17" i="5"/>
  <c r="AB17" i="5"/>
  <c r="X17" i="5"/>
  <c r="T17" i="5"/>
  <c r="P17" i="5"/>
  <c r="L17" i="5"/>
  <c r="H17" i="5"/>
  <c r="AE17" i="5"/>
  <c r="AA17" i="5"/>
  <c r="W17" i="5"/>
  <c r="S17" i="5"/>
  <c r="O17" i="5"/>
  <c r="K17" i="5"/>
  <c r="G17" i="5"/>
  <c r="D17" i="5"/>
  <c r="AH17" i="5"/>
  <c r="AD17" i="5"/>
  <c r="Z17" i="5"/>
  <c r="V17" i="5"/>
  <c r="R17" i="5"/>
  <c r="N17" i="5"/>
  <c r="D17" i="4"/>
  <c r="AH17" i="4"/>
  <c r="AD17" i="4"/>
  <c r="Z17" i="4"/>
  <c r="V17" i="4"/>
  <c r="R17" i="4"/>
  <c r="N17" i="4"/>
  <c r="J17" i="4"/>
  <c r="F17" i="4"/>
  <c r="AF17" i="4"/>
  <c r="AB17" i="4"/>
  <c r="X17" i="4"/>
  <c r="T17" i="4"/>
  <c r="P17" i="4"/>
  <c r="L17" i="4"/>
  <c r="AD11" i="1"/>
  <c r="AF11" i="1" s="1"/>
  <c r="AD6" i="1"/>
  <c r="AF6" i="1" s="1"/>
  <c r="D31" i="3"/>
  <c r="Y14" i="1"/>
  <c r="W29" i="1"/>
  <c r="AH27" i="1"/>
  <c r="AG6" i="1"/>
  <c r="AI6" i="1" s="1"/>
  <c r="AG11" i="1"/>
  <c r="AG12" i="1"/>
  <c r="AI12" i="1" s="1"/>
  <c r="AG23" i="1"/>
  <c r="AI23" i="1" s="1"/>
  <c r="AD23" i="1"/>
  <c r="AF23" i="1" s="1"/>
  <c r="AD21" i="1"/>
  <c r="AF21" i="1" s="1"/>
  <c r="AG8" i="1"/>
  <c r="AG18" i="1"/>
  <c r="AI18" i="1" s="1"/>
  <c r="AG21" i="1"/>
  <c r="AI21" i="1" s="1"/>
  <c r="AG22" i="1"/>
  <c r="AI22" i="1" s="1"/>
  <c r="AD24" i="1"/>
  <c r="AF24" i="1" s="1"/>
  <c r="AD22" i="1"/>
  <c r="AF22" i="1" s="1"/>
  <c r="AD19" i="1"/>
  <c r="AF19" i="1" s="1"/>
  <c r="AD17" i="1"/>
  <c r="AF17" i="1" s="1"/>
  <c r="AD14" i="1"/>
  <c r="AF14" i="1" s="1"/>
  <c r="AD12" i="1"/>
  <c r="AF12" i="1" s="1"/>
  <c r="AD9" i="1"/>
  <c r="AF9" i="1" s="1"/>
  <c r="AD7" i="1"/>
  <c r="AG14" i="1"/>
  <c r="AI14" i="1" s="1"/>
  <c r="AC26" i="1"/>
  <c r="G27" i="1"/>
  <c r="V13" i="1"/>
  <c r="X28" i="1"/>
  <c r="W28" i="1"/>
  <c r="U28" i="1"/>
  <c r="G25" i="1"/>
  <c r="AH28" i="1"/>
  <c r="T26" i="1"/>
  <c r="AH25" i="1"/>
  <c r="Q38" i="1" s="1"/>
  <c r="AE25" i="1"/>
  <c r="U25" i="1"/>
  <c r="X25" i="1"/>
  <c r="W25" i="1"/>
  <c r="T25" i="1"/>
  <c r="T38" i="1" s="1"/>
  <c r="V38" i="1" s="1"/>
  <c r="AE20" i="1"/>
  <c r="AH20" i="1"/>
  <c r="Q37" i="1" s="1"/>
  <c r="G20" i="1"/>
  <c r="X20" i="1"/>
  <c r="U20" i="1"/>
  <c r="T20" i="1"/>
  <c r="W20" i="1"/>
  <c r="G29" i="1"/>
  <c r="G15" i="1"/>
  <c r="U15" i="1"/>
  <c r="T15" i="1"/>
  <c r="G30" i="1"/>
  <c r="X10" i="1"/>
  <c r="K31" i="1"/>
  <c r="M38" i="1" s="1"/>
  <c r="F31" i="1"/>
  <c r="G28" i="1"/>
  <c r="G10" i="1"/>
  <c r="W10" i="1"/>
  <c r="V14" i="1"/>
  <c r="Y12" i="1"/>
  <c r="AH26" i="1"/>
  <c r="W27" i="1"/>
  <c r="T29" i="1"/>
  <c r="X27" i="1"/>
  <c r="AA26" i="1"/>
  <c r="Y13" i="1"/>
  <c r="AG24" i="1"/>
  <c r="AI24" i="1" s="1"/>
  <c r="AG9" i="1"/>
  <c r="AI9" i="1" s="1"/>
  <c r="AG19" i="1"/>
  <c r="AI19" i="1" s="1"/>
  <c r="X26" i="1"/>
  <c r="AH29" i="1"/>
  <c r="J7" i="1"/>
  <c r="L7" i="1" s="1"/>
  <c r="J8" i="1"/>
  <c r="J9" i="1"/>
  <c r="V11" i="1"/>
  <c r="E31" i="3"/>
  <c r="F31" i="3" s="1"/>
  <c r="W39" i="1" s="1"/>
  <c r="AF17" i="2"/>
  <c r="AB17" i="2"/>
  <c r="X17" i="2"/>
  <c r="T17" i="2"/>
  <c r="P17" i="2"/>
  <c r="L17" i="2"/>
  <c r="H17" i="2"/>
  <c r="AE17" i="2"/>
  <c r="AA17" i="2"/>
  <c r="W17" i="2"/>
  <c r="S17" i="2"/>
  <c r="O17" i="2"/>
  <c r="K17" i="2"/>
  <c r="G17" i="2"/>
  <c r="D17" i="2"/>
  <c r="AH17" i="2"/>
  <c r="AD17" i="2"/>
  <c r="Z17" i="2"/>
  <c r="V17" i="2"/>
  <c r="R17" i="2"/>
  <c r="N17" i="2"/>
  <c r="J17" i="2"/>
  <c r="F17" i="2"/>
  <c r="AG17" i="2"/>
  <c r="AC17" i="2"/>
  <c r="Y17" i="2"/>
  <c r="U17" i="2"/>
  <c r="Q17" i="2"/>
  <c r="M17" i="2"/>
  <c r="I17" i="2"/>
  <c r="V7" i="1"/>
  <c r="V9" i="1"/>
  <c r="V6" i="1"/>
  <c r="Y7" i="1"/>
  <c r="Y9" i="1"/>
  <c r="V8" i="1"/>
  <c r="Y6" i="1"/>
  <c r="Y8" i="1"/>
  <c r="E31" i="1"/>
  <c r="AQ30" i="1" l="1"/>
  <c r="AW27" i="1"/>
  <c r="AQ10" i="1"/>
  <c r="AW10" i="1"/>
  <c r="AV10" i="1"/>
  <c r="AO31" i="1"/>
  <c r="AQ27" i="1"/>
  <c r="AP31" i="1"/>
  <c r="AW28" i="1"/>
  <c r="AV15" i="1"/>
  <c r="AW15" i="1"/>
  <c r="AW30" i="1"/>
  <c r="AU31" i="1"/>
  <c r="AV31" i="1" s="1"/>
  <c r="AV27" i="1"/>
  <c r="J25" i="1"/>
  <c r="L25" i="1" s="1"/>
  <c r="J20" i="1"/>
  <c r="L20" i="1" s="1"/>
  <c r="J15" i="1"/>
  <c r="L15" i="1" s="1"/>
  <c r="T37" i="1"/>
  <c r="V37" i="1" s="1"/>
  <c r="AG15" i="1"/>
  <c r="AI15" i="1" s="1"/>
  <c r="R36" i="1" s="1"/>
  <c r="J27" i="1"/>
  <c r="J29" i="1"/>
  <c r="L29" i="1" s="1"/>
  <c r="T36" i="1"/>
  <c r="V36" i="1" s="1"/>
  <c r="AD25" i="1"/>
  <c r="AF25" i="1" s="1"/>
  <c r="W38" i="1"/>
  <c r="X38" i="1"/>
  <c r="Z38" i="1" s="1"/>
  <c r="AG20" i="1"/>
  <c r="AI20" i="1" s="1"/>
  <c r="R37" i="1" s="1"/>
  <c r="X37" i="1"/>
  <c r="Z37" i="1" s="1"/>
  <c r="W37" i="1"/>
  <c r="W36" i="1"/>
  <c r="X36" i="1"/>
  <c r="Z36" i="1" s="1"/>
  <c r="X35" i="1"/>
  <c r="Z35" i="1" s="1"/>
  <c r="W35" i="1"/>
  <c r="S15" i="1"/>
  <c r="D37" i="1" s="1"/>
  <c r="G37" i="1" s="1"/>
  <c r="S27" i="1"/>
  <c r="S28" i="1"/>
  <c r="S29" i="1"/>
  <c r="S26" i="1"/>
  <c r="Y26" i="1"/>
  <c r="M31" i="1"/>
  <c r="V27" i="1"/>
  <c r="Y39" i="1"/>
  <c r="U39" i="1"/>
  <c r="V28" i="1"/>
  <c r="V26" i="1"/>
  <c r="AG25" i="1"/>
  <c r="AI25" i="1" s="1"/>
  <c r="R38" i="1" s="1"/>
  <c r="AD27" i="1"/>
  <c r="AF27" i="1" s="1"/>
  <c r="Y15" i="1"/>
  <c r="P36" i="1" s="1"/>
  <c r="V10" i="1"/>
  <c r="R30" i="1"/>
  <c r="AD28" i="1"/>
  <c r="AF28" i="1" s="1"/>
  <c r="AG27" i="1"/>
  <c r="AI27" i="1" s="1"/>
  <c r="AF7" i="1"/>
  <c r="Y29" i="1"/>
  <c r="V29" i="1"/>
  <c r="AD20" i="1"/>
  <c r="AF20" i="1" s="1"/>
  <c r="AD15" i="1"/>
  <c r="AF15" i="1" s="1"/>
  <c r="AD26" i="1"/>
  <c r="AF26" i="1" s="1"/>
  <c r="AG28" i="1"/>
  <c r="AI28" i="1" s="1"/>
  <c r="AG26" i="1"/>
  <c r="AI26" i="1" s="1"/>
  <c r="AI11" i="1"/>
  <c r="AI8" i="1"/>
  <c r="AD29" i="1"/>
  <c r="AF29" i="1" s="1"/>
  <c r="Y28" i="1"/>
  <c r="T30" i="1"/>
  <c r="V25" i="1"/>
  <c r="V15" i="1"/>
  <c r="AH30" i="1"/>
  <c r="Q39" i="1" s="1"/>
  <c r="Y25" i="1"/>
  <c r="P38" i="1" s="1"/>
  <c r="X30" i="1"/>
  <c r="AE30" i="1"/>
  <c r="U30" i="1"/>
  <c r="Y20" i="1"/>
  <c r="P37" i="1" s="1"/>
  <c r="V20" i="1"/>
  <c r="W30" i="1"/>
  <c r="G31" i="1"/>
  <c r="Y27" i="1"/>
  <c r="Y10" i="1"/>
  <c r="P35" i="1" s="1"/>
  <c r="S10" i="1"/>
  <c r="D36" i="1" s="1"/>
  <c r="J28" i="1"/>
  <c r="L28" i="1" s="1"/>
  <c r="AG29" i="1"/>
  <c r="AI29" i="1" s="1"/>
  <c r="L8" i="1"/>
  <c r="AG10" i="1"/>
  <c r="AD10" i="1"/>
  <c r="J10" i="1"/>
  <c r="L10" i="1" s="1"/>
  <c r="L6" i="1"/>
  <c r="L9" i="1"/>
  <c r="J30" i="1"/>
  <c r="L30" i="1" s="1"/>
  <c r="L27" i="1" l="1"/>
  <c r="J31" i="1"/>
  <c r="N38" i="1" s="1"/>
  <c r="G36" i="1"/>
  <c r="D40" i="1"/>
  <c r="AW31" i="1"/>
  <c r="AQ31" i="1"/>
  <c r="T39" i="1"/>
  <c r="V39" i="1" s="1"/>
  <c r="X39" i="1"/>
  <c r="Z39" i="1" s="1"/>
  <c r="S30" i="1"/>
  <c r="AG30" i="1"/>
  <c r="AI30" i="1" s="1"/>
  <c r="R39" i="1" s="1"/>
  <c r="V30" i="1"/>
  <c r="Y30" i="1"/>
  <c r="P39" i="1" s="1"/>
  <c r="AI10" i="1"/>
  <c r="R35" i="1" s="1"/>
  <c r="L31" i="1"/>
  <c r="AD30" i="1"/>
  <c r="AF30" i="1" s="1"/>
  <c r="AF10" i="1"/>
</calcChain>
</file>

<file path=xl/sharedStrings.xml><?xml version="1.0" encoding="utf-8"?>
<sst xmlns="http://schemas.openxmlformats.org/spreadsheetml/2006/main" count="375" uniqueCount="103">
  <si>
    <t>РА-1</t>
  </si>
  <si>
    <t>РА-2</t>
  </si>
  <si>
    <t>РД</t>
  </si>
  <si>
    <t>РГС</t>
  </si>
  <si>
    <t>Шахта.</t>
  </si>
  <si>
    <t>Сорт руди.</t>
  </si>
  <si>
    <t>План</t>
  </si>
  <si>
    <t>Факт</t>
  </si>
  <si>
    <t>ш. Тернів- ська</t>
  </si>
  <si>
    <t>Всього</t>
  </si>
  <si>
    <t>ш. Гвардій- ська</t>
  </si>
  <si>
    <t>ш. Октябр- ська</t>
  </si>
  <si>
    <t>ш. Родіна</t>
  </si>
  <si>
    <t>КЗРК</t>
  </si>
  <si>
    <t xml:space="preserve">РГС </t>
  </si>
  <si>
    <t>Добыча</t>
  </si>
  <si>
    <t>Отгрузка</t>
  </si>
  <si>
    <t>Сорт</t>
  </si>
  <si>
    <t>Вид</t>
  </si>
  <si>
    <t>Остатки</t>
  </si>
  <si>
    <t>на 1-е</t>
  </si>
  <si>
    <t>на тек.дату</t>
  </si>
  <si>
    <t>Добыча план</t>
  </si>
  <si>
    <t>Добыча факт</t>
  </si>
  <si>
    <t>Сброс НРФМ</t>
  </si>
  <si>
    <t>Сброс НФРМ</t>
  </si>
  <si>
    <t>РА-2 &gt; РА-1</t>
  </si>
  <si>
    <t>Добыча руды</t>
  </si>
  <si>
    <t>С начала месяца</t>
  </si>
  <si>
    <t>За сутки</t>
  </si>
  <si>
    <t>сутки</t>
  </si>
  <si>
    <t>с н.м</t>
  </si>
  <si>
    <t>Отгрузка руды</t>
  </si>
  <si>
    <t>На 1-е число</t>
  </si>
  <si>
    <t>План отгрузки</t>
  </si>
  <si>
    <t>Отгрузка факт</t>
  </si>
  <si>
    <t>Отгрузка план</t>
  </si>
  <si>
    <t>Экспорт</t>
  </si>
  <si>
    <t>План экспорт сутки</t>
  </si>
  <si>
    <t>Факт экспорт сутки</t>
  </si>
  <si>
    <t>План экспорт с н.м.</t>
  </si>
  <si>
    <t>Факт экспорт с н.м.</t>
  </si>
  <si>
    <t>Отклонение с н.м.</t>
  </si>
  <si>
    <t>в котором</t>
  </si>
  <si>
    <t>день/дней</t>
  </si>
  <si>
    <t>Терновская</t>
  </si>
  <si>
    <t>Гвардейская</t>
  </si>
  <si>
    <t>Октябрьская</t>
  </si>
  <si>
    <t>Родина</t>
  </si>
  <si>
    <t>план</t>
  </si>
  <si>
    <t>факт</t>
  </si>
  <si>
    <t>за сутки</t>
  </si>
  <si>
    <t>План на  месяц</t>
  </si>
  <si>
    <t>с начала месяца</t>
  </si>
  <si>
    <t>Шахты</t>
  </si>
  <si>
    <t>Отклонение за сутки</t>
  </si>
  <si>
    <t>Отгрузка на экспорт.</t>
  </si>
  <si>
    <t>Качество добытой руды.</t>
  </si>
  <si>
    <t>КЖРК</t>
  </si>
  <si>
    <t>Для месяца</t>
  </si>
  <si>
    <t>Качество</t>
  </si>
  <si>
    <t>Контроль</t>
  </si>
  <si>
    <t>РГС &gt; РА-1</t>
  </si>
  <si>
    <t>Т.</t>
  </si>
  <si>
    <t>Г.</t>
  </si>
  <si>
    <t>О.</t>
  </si>
  <si>
    <t>Р.</t>
  </si>
  <si>
    <t>Сулимов</t>
  </si>
  <si>
    <t>Лопатко</t>
  </si>
  <si>
    <t>Шраго</t>
  </si>
  <si>
    <t>Матвиенко</t>
  </si>
  <si>
    <t xml:space="preserve">Хижняк </t>
  </si>
  <si>
    <t>Афанвсьев</t>
  </si>
  <si>
    <t>Всего</t>
  </si>
  <si>
    <t>Ночн.</t>
  </si>
  <si>
    <t>Празд.</t>
  </si>
  <si>
    <t>Всего:</t>
  </si>
  <si>
    <t>Фактически отработанное время по диспетчерской службе за августь 2019 г.</t>
  </si>
  <si>
    <t>Отклонение</t>
  </si>
  <si>
    <t>+24</t>
  </si>
  <si>
    <t>+8</t>
  </si>
  <si>
    <t>-48</t>
  </si>
  <si>
    <t>-16</t>
  </si>
  <si>
    <t>+16</t>
  </si>
  <si>
    <t>0</t>
  </si>
  <si>
    <t>Примечания:</t>
  </si>
  <si>
    <t>Сулимов: тарифный отпуск 10.08 - 30.08</t>
  </si>
  <si>
    <t>Афанасьев: перевод в техотдел с 19.08</t>
  </si>
  <si>
    <t>Матвиенко: больничный с 24.08</t>
  </si>
  <si>
    <t>ноября</t>
  </si>
  <si>
    <t>для выдачи</t>
  </si>
  <si>
    <t>для тов.руды</t>
  </si>
  <si>
    <t>контроль</t>
  </si>
  <si>
    <t>Перераб.</t>
  </si>
  <si>
    <t>для тов.</t>
  </si>
  <si>
    <t>Filmix</t>
  </si>
  <si>
    <t>d00dde</t>
  </si>
  <si>
    <t>349c2940365</t>
  </si>
  <si>
    <t>Youtube</t>
  </si>
  <si>
    <t>d48564</t>
  </si>
  <si>
    <t>80c16e95</t>
  </si>
  <si>
    <t>HTML Academy</t>
  </si>
  <si>
    <t>d48564@gmail.com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</si>
</sst>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6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  <font>
      <sz val="9"/>
      <color indexed="8"/>
      <name val="Arial"/>
      <family val="2"/>
      <charset val="204"/>
    </font>
    <font>
      <b/>
      <sz val="9"/>
      <color indexed="8"/>
      <name val="Arial"/>
      <family val="2"/>
      <charset val="204"/>
    </font>
    <font>
      <sz val="11"/>
      <name val="Times New Roman"/>
      <family val="1"/>
      <charset val="204"/>
    </font>
    <font>
      <sz val="11"/>
      <color theme="1"/>
      <name val="Calibri"/>
      <family val="2"/>
      <scheme val="minor"/>
    </font>
    <font>
      <sz val="10"/>
      <name val="Arial Cyr"/>
      <charset val="204"/>
    </font>
    <font>
      <sz val="14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0"/>
      <color rgb="FF333333"/>
      <name val="Cambria"/>
      <family val="1"/>
      <charset val="204"/>
      <scheme val="maj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34998626667073579"/>
        <bgColor indexed="64"/>
      </patternFill>
    </fill>
  </fills>
  <borders count="7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8" fillId="0" borderId="0"/>
    <xf numFmtId="0" fontId="9" fillId="0" borderId="0"/>
    <xf numFmtId="0" fontId="14" fillId="0" borderId="0" applyNumberFormat="0" applyFill="0" applyBorder="0" applyAlignment="0" applyProtection="0"/>
  </cellStyleXfs>
  <cellXfs count="256">
    <xf numFmtId="0" fontId="0" fillId="0" borderId="0" xfId="0"/>
    <xf numFmtId="0" fontId="1" fillId="0" borderId="3" xfId="0" applyFont="1" applyBorder="1"/>
    <xf numFmtId="0" fontId="1" fillId="0" borderId="5" xfId="0" applyFont="1" applyBorder="1"/>
    <xf numFmtId="0" fontId="1" fillId="0" borderId="9" xfId="0" applyFont="1" applyBorder="1"/>
    <xf numFmtId="0" fontId="1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1" xfId="0" applyFont="1" applyBorder="1" applyAlignment="1">
      <alignment horizontal="center" vertical="center"/>
    </xf>
    <xf numFmtId="0" fontId="1" fillId="2" borderId="5" xfId="0" applyFont="1" applyFill="1" applyBorder="1"/>
    <xf numFmtId="0" fontId="1" fillId="2" borderId="11" xfId="0" applyFont="1" applyFill="1" applyBorder="1"/>
    <xf numFmtId="0" fontId="1" fillId="2" borderId="17" xfId="0" applyFont="1" applyFill="1" applyBorder="1"/>
    <xf numFmtId="0" fontId="1" fillId="3" borderId="5" xfId="0" applyFont="1" applyFill="1" applyBorder="1"/>
    <xf numFmtId="0" fontId="1" fillId="3" borderId="17" xfId="0" applyFont="1" applyFill="1" applyBorder="1"/>
    <xf numFmtId="0" fontId="1" fillId="3" borderId="11" xfId="0" applyFont="1" applyFill="1" applyBorder="1" applyAlignment="1">
      <alignment vertical="center"/>
    </xf>
    <xf numFmtId="0" fontId="1" fillId="3" borderId="9" xfId="0" applyFont="1" applyFill="1" applyBorder="1"/>
    <xf numFmtId="0" fontId="1" fillId="3" borderId="15" xfId="0" applyFont="1" applyFill="1" applyBorder="1"/>
    <xf numFmtId="0" fontId="1" fillId="3" borderId="2" xfId="0" applyFont="1" applyFill="1" applyBorder="1"/>
    <xf numFmtId="0" fontId="1" fillId="3" borderId="8" xfId="0" applyFont="1" applyFill="1" applyBorder="1"/>
    <xf numFmtId="0" fontId="1" fillId="3" borderId="14" xfId="0" applyFont="1" applyFill="1" applyBorder="1"/>
    <xf numFmtId="0" fontId="1" fillId="3" borderId="3" xfId="0" applyFont="1" applyFill="1" applyBorder="1"/>
    <xf numFmtId="0" fontId="1" fillId="3" borderId="8" xfId="0" applyFont="1" applyFill="1" applyBorder="1" applyAlignment="1">
      <alignment vertical="center"/>
    </xf>
    <xf numFmtId="0" fontId="2" fillId="2" borderId="11" xfId="0" applyFont="1" applyFill="1" applyBorder="1"/>
    <xf numFmtId="164" fontId="1" fillId="3" borderId="27" xfId="0" applyNumberFormat="1" applyFont="1" applyFill="1" applyBorder="1"/>
    <xf numFmtId="164" fontId="1" fillId="3" borderId="18" xfId="0" applyNumberFormat="1" applyFont="1" applyFill="1" applyBorder="1"/>
    <xf numFmtId="164" fontId="1" fillId="3" borderId="17" xfId="0" applyNumberFormat="1" applyFont="1" applyFill="1" applyBorder="1"/>
    <xf numFmtId="164" fontId="1" fillId="3" borderId="38" xfId="0" applyNumberFormat="1" applyFont="1" applyFill="1" applyBorder="1"/>
    <xf numFmtId="164" fontId="1" fillId="3" borderId="37" xfId="0" applyNumberFormat="1" applyFont="1" applyFill="1" applyBorder="1"/>
    <xf numFmtId="164" fontId="1" fillId="3" borderId="12" xfId="0" applyNumberFormat="1" applyFont="1" applyFill="1" applyBorder="1" applyAlignment="1">
      <alignment vertical="center"/>
    </xf>
    <xf numFmtId="0" fontId="2" fillId="3" borderId="11" xfId="0" applyFont="1" applyFill="1" applyBorder="1"/>
    <xf numFmtId="0" fontId="0" fillId="3" borderId="0" xfId="0" applyFill="1"/>
    <xf numFmtId="0" fontId="1" fillId="2" borderId="28" xfId="0" applyFont="1" applyFill="1" applyBorder="1"/>
    <xf numFmtId="0" fontId="1" fillId="3" borderId="15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2" borderId="27" xfId="0" applyFont="1" applyFill="1" applyBorder="1"/>
    <xf numFmtId="0" fontId="2" fillId="0" borderId="12" xfId="0" applyFont="1" applyBorder="1" applyAlignment="1">
      <alignment horizontal="center" vertical="center"/>
    </xf>
    <xf numFmtId="0" fontId="2" fillId="0" borderId="12" xfId="0" applyFont="1" applyBorder="1"/>
    <xf numFmtId="0" fontId="2" fillId="0" borderId="20" xfId="0" applyFont="1" applyBorder="1" applyAlignment="1">
      <alignment horizontal="center" vertical="center"/>
    </xf>
    <xf numFmtId="0" fontId="2" fillId="0" borderId="20" xfId="0" applyFont="1" applyBorder="1" applyAlignment="1">
      <alignment vertical="center" textRotation="90"/>
    </xf>
    <xf numFmtId="0" fontId="2" fillId="0" borderId="16" xfId="0" applyFont="1" applyBorder="1" applyAlignment="1">
      <alignment horizontal="center" vertical="center" wrapText="1"/>
    </xf>
    <xf numFmtId="0" fontId="2" fillId="0" borderId="5" xfId="0" applyFont="1" applyBorder="1"/>
    <xf numFmtId="164" fontId="2" fillId="0" borderId="5" xfId="0" applyNumberFormat="1" applyFont="1" applyBorder="1"/>
    <xf numFmtId="164" fontId="2" fillId="0" borderId="4" xfId="0" applyNumberFormat="1" applyFont="1" applyBorder="1"/>
    <xf numFmtId="164" fontId="2" fillId="0" borderId="11" xfId="0" applyNumberFormat="1" applyFont="1" applyBorder="1"/>
    <xf numFmtId="164" fontId="2" fillId="0" borderId="10" xfId="0" applyNumberFormat="1" applyFont="1" applyBorder="1"/>
    <xf numFmtId="0" fontId="2" fillId="0" borderId="28" xfId="0" applyFont="1" applyBorder="1"/>
    <xf numFmtId="164" fontId="2" fillId="0" borderId="28" xfId="0" applyNumberFormat="1" applyFont="1" applyBorder="1"/>
    <xf numFmtId="164" fontId="2" fillId="0" borderId="34" xfId="0" applyNumberFormat="1" applyFont="1" applyBorder="1"/>
    <xf numFmtId="0" fontId="0" fillId="0" borderId="26" xfId="0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 wrapText="1"/>
    </xf>
    <xf numFmtId="2" fontId="2" fillId="0" borderId="5" xfId="0" applyNumberFormat="1" applyFont="1" applyBorder="1"/>
    <xf numFmtId="2" fontId="2" fillId="0" borderId="11" xfId="0" applyNumberFormat="1" applyFont="1" applyBorder="1"/>
    <xf numFmtId="2" fontId="2" fillId="0" borderId="27" xfId="0" applyNumberFormat="1" applyFont="1" applyBorder="1"/>
    <xf numFmtId="2" fontId="2" fillId="0" borderId="17" xfId="0" applyNumberFormat="1" applyFont="1" applyBorder="1"/>
    <xf numFmtId="2" fontId="2" fillId="0" borderId="28" xfId="0" applyNumberFormat="1" applyFont="1" applyBorder="1"/>
    <xf numFmtId="0" fontId="2" fillId="0" borderId="0" xfId="0" applyFont="1"/>
    <xf numFmtId="0" fontId="2" fillId="0" borderId="11" xfId="0" applyFont="1" applyFill="1" applyBorder="1"/>
    <xf numFmtId="2" fontId="2" fillId="3" borderId="11" xfId="0" applyNumberFormat="1" applyFont="1" applyFill="1" applyBorder="1"/>
    <xf numFmtId="164" fontId="1" fillId="3" borderId="44" xfId="0" applyNumberFormat="1" applyFont="1" applyFill="1" applyBorder="1"/>
    <xf numFmtId="164" fontId="1" fillId="3" borderId="8" xfId="0" applyNumberFormat="1" applyFont="1" applyFill="1" applyBorder="1" applyAlignment="1">
      <alignment vertical="center"/>
    </xf>
    <xf numFmtId="164" fontId="1" fillId="3" borderId="45" xfId="0" applyNumberFormat="1" applyFont="1" applyFill="1" applyBorder="1"/>
    <xf numFmtId="164" fontId="1" fillId="3" borderId="2" xfId="0" applyNumberFormat="1" applyFont="1" applyFill="1" applyBorder="1"/>
    <xf numFmtId="164" fontId="1" fillId="3" borderId="14" xfId="0" applyNumberFormat="1" applyFont="1" applyFill="1" applyBorder="1"/>
    <xf numFmtId="0" fontId="1" fillId="3" borderId="44" xfId="0" applyFont="1" applyFill="1" applyBorder="1"/>
    <xf numFmtId="0" fontId="1" fillId="0" borderId="31" xfId="0" applyFont="1" applyBorder="1"/>
    <xf numFmtId="0" fontId="1" fillId="0" borderId="28" xfId="0" applyFont="1" applyBorder="1"/>
    <xf numFmtId="164" fontId="1" fillId="3" borderId="46" xfId="0" applyNumberFormat="1" applyFont="1" applyFill="1" applyBorder="1"/>
    <xf numFmtId="164" fontId="1" fillId="3" borderId="47" xfId="0" applyNumberFormat="1" applyFont="1" applyFill="1" applyBorder="1" applyAlignment="1">
      <alignment vertical="center"/>
    </xf>
    <xf numFmtId="164" fontId="1" fillId="3" borderId="48" xfId="0" applyNumberFormat="1" applyFont="1" applyFill="1" applyBorder="1"/>
    <xf numFmtId="2" fontId="0" fillId="0" borderId="0" xfId="0" applyNumberFormat="1"/>
    <xf numFmtId="2" fontId="1" fillId="3" borderId="46" xfId="0" applyNumberFormat="1" applyFont="1" applyFill="1" applyBorder="1"/>
    <xf numFmtId="2" fontId="1" fillId="3" borderId="47" xfId="0" applyNumberFormat="1" applyFont="1" applyFill="1" applyBorder="1" applyAlignment="1">
      <alignment vertical="center"/>
    </xf>
    <xf numFmtId="2" fontId="1" fillId="2" borderId="48" xfId="0" applyNumberFormat="1" applyFont="1" applyFill="1" applyBorder="1"/>
    <xf numFmtId="0" fontId="1" fillId="3" borderId="14" xfId="0" applyFont="1" applyFill="1" applyBorder="1" applyAlignment="1">
      <alignment horizontal="center" vertical="center"/>
    </xf>
    <xf numFmtId="164" fontId="1" fillId="3" borderId="50" xfId="0" applyNumberFormat="1" applyFont="1" applyFill="1" applyBorder="1"/>
    <xf numFmtId="164" fontId="1" fillId="3" borderId="51" xfId="0" applyNumberFormat="1" applyFont="1" applyFill="1" applyBorder="1"/>
    <xf numFmtId="164" fontId="1" fillId="0" borderId="28" xfId="0" applyNumberFormat="1" applyFont="1" applyBorder="1"/>
    <xf numFmtId="164" fontId="1" fillId="0" borderId="11" xfId="0" applyNumberFormat="1" applyFont="1" applyBorder="1"/>
    <xf numFmtId="164" fontId="1" fillId="0" borderId="5" xfId="0" applyNumberFormat="1" applyFont="1" applyBorder="1"/>
    <xf numFmtId="0" fontId="1" fillId="3" borderId="40" xfId="0" applyFont="1" applyFill="1" applyBorder="1"/>
    <xf numFmtId="0" fontId="1" fillId="3" borderId="41" xfId="0" applyFont="1" applyFill="1" applyBorder="1"/>
    <xf numFmtId="0" fontId="1" fillId="2" borderId="26" xfId="0" applyFont="1" applyFill="1" applyBorder="1"/>
    <xf numFmtId="0" fontId="1" fillId="3" borderId="26" xfId="0" applyFont="1" applyFill="1" applyBorder="1"/>
    <xf numFmtId="0" fontId="1" fillId="3" borderId="49" xfId="0" applyFont="1" applyFill="1" applyBorder="1"/>
    <xf numFmtId="164" fontId="1" fillId="3" borderId="28" xfId="0" applyNumberFormat="1" applyFont="1" applyFill="1" applyBorder="1"/>
    <xf numFmtId="164" fontId="1" fillId="3" borderId="11" xfId="0" applyNumberFormat="1" applyFont="1" applyFill="1" applyBorder="1"/>
    <xf numFmtId="0" fontId="2" fillId="0" borderId="11" xfId="0" applyFont="1" applyBorder="1" applyAlignment="1">
      <alignment horizontal="center" vertical="center"/>
    </xf>
    <xf numFmtId="164" fontId="1" fillId="3" borderId="3" xfId="0" applyNumberFormat="1" applyFont="1" applyFill="1" applyBorder="1"/>
    <xf numFmtId="164" fontId="1" fillId="3" borderId="4" xfId="0" applyNumberFormat="1" applyFont="1" applyFill="1" applyBorder="1"/>
    <xf numFmtId="164" fontId="1" fillId="3" borderId="31" xfId="0" applyNumberFormat="1" applyFont="1" applyFill="1" applyBorder="1"/>
    <xf numFmtId="164" fontId="1" fillId="3" borderId="10" xfId="0" applyNumberFormat="1" applyFont="1" applyFill="1" applyBorder="1" applyAlignment="1">
      <alignment vertical="center"/>
    </xf>
    <xf numFmtId="164" fontId="1" fillId="3" borderId="16" xfId="0" applyNumberFormat="1" applyFont="1" applyFill="1" applyBorder="1"/>
    <xf numFmtId="164" fontId="1" fillId="3" borderId="7" xfId="0" applyNumberFormat="1" applyFont="1" applyFill="1" applyBorder="1"/>
    <xf numFmtId="164" fontId="1" fillId="0" borderId="37" xfId="0" applyNumberFormat="1" applyFont="1" applyBorder="1"/>
    <xf numFmtId="164" fontId="1" fillId="0" borderId="12" xfId="0" applyNumberFormat="1" applyFont="1" applyBorder="1"/>
    <xf numFmtId="164" fontId="1" fillId="3" borderId="47" xfId="0" applyNumberFormat="1" applyFont="1" applyFill="1" applyBorder="1"/>
    <xf numFmtId="164" fontId="2" fillId="0" borderId="0" xfId="0" applyNumberFormat="1" applyFont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1" fontId="6" fillId="0" borderId="58" xfId="0" applyNumberFormat="1" applyFont="1" applyBorder="1" applyAlignment="1">
      <alignment vertical="center"/>
    </xf>
    <xf numFmtId="1" fontId="5" fillId="0" borderId="59" xfId="0" applyNumberFormat="1" applyFont="1" applyBorder="1" applyAlignment="1">
      <alignment vertical="center"/>
    </xf>
    <xf numFmtId="1" fontId="6" fillId="0" borderId="59" xfId="0" applyNumberFormat="1" applyFont="1" applyBorder="1" applyAlignment="1">
      <alignment vertical="center"/>
    </xf>
    <xf numFmtId="1" fontId="5" fillId="4" borderId="59" xfId="0" applyNumberFormat="1" applyFont="1" applyFill="1" applyBorder="1" applyAlignment="1">
      <alignment vertical="center"/>
    </xf>
    <xf numFmtId="1" fontId="6" fillId="0" borderId="60" xfId="0" applyNumberFormat="1" applyFont="1" applyBorder="1" applyAlignment="1">
      <alignment vertical="center"/>
    </xf>
    <xf numFmtId="1" fontId="6" fillId="0" borderId="61" xfId="0" applyNumberFormat="1" applyFont="1" applyBorder="1" applyAlignment="1">
      <alignment vertical="center"/>
    </xf>
    <xf numFmtId="1" fontId="6" fillId="0" borderId="62" xfId="0" applyNumberFormat="1" applyFont="1" applyBorder="1" applyAlignment="1">
      <alignment vertical="center"/>
    </xf>
    <xf numFmtId="1" fontId="0" fillId="0" borderId="0" xfId="0" applyNumberFormat="1"/>
    <xf numFmtId="2" fontId="7" fillId="2" borderId="11" xfId="0" applyNumberFormat="1" applyFont="1" applyFill="1" applyBorder="1"/>
    <xf numFmtId="0" fontId="1" fillId="0" borderId="3" xfId="0" applyNumberFormat="1" applyFont="1" applyBorder="1"/>
    <xf numFmtId="0" fontId="0" fillId="0" borderId="0" xfId="0" applyAlignment="1">
      <alignment horizontal="center"/>
    </xf>
    <xf numFmtId="0" fontId="0" fillId="0" borderId="11" xfId="0" applyBorder="1"/>
    <xf numFmtId="0" fontId="0" fillId="0" borderId="11" xfId="0" applyBorder="1" applyAlignment="1">
      <alignment horizontal="right" vertical="center"/>
    </xf>
    <xf numFmtId="0" fontId="0" fillId="0" borderId="11" xfId="0" applyBorder="1" applyAlignment="1">
      <alignment horizontal="center" vertical="center"/>
    </xf>
    <xf numFmtId="0" fontId="0" fillId="0" borderId="11" xfId="0" applyFill="1" applyBorder="1"/>
    <xf numFmtId="49" fontId="0" fillId="0" borderId="11" xfId="0" applyNumberFormat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6" fillId="0" borderId="63" xfId="0" applyFont="1" applyBorder="1" applyAlignment="1">
      <alignment vertical="center"/>
    </xf>
    <xf numFmtId="164" fontId="6" fillId="0" borderId="58" xfId="0" applyNumberFormat="1" applyFont="1" applyBorder="1" applyAlignment="1">
      <alignment horizontal="center" vertical="center"/>
    </xf>
    <xf numFmtId="0" fontId="5" fillId="0" borderId="59" xfId="0" applyFont="1" applyBorder="1" applyAlignment="1">
      <alignment vertical="center"/>
    </xf>
    <xf numFmtId="164" fontId="5" fillId="0" borderId="64" xfId="0" applyNumberFormat="1" applyFont="1" applyBorder="1" applyAlignment="1">
      <alignment horizontal="center" vertical="center"/>
    </xf>
    <xf numFmtId="0" fontId="6" fillId="0" borderId="59" xfId="0" applyFont="1" applyBorder="1" applyAlignment="1">
      <alignment vertical="center"/>
    </xf>
    <xf numFmtId="164" fontId="6" fillId="0" borderId="59" xfId="0" applyNumberFormat="1" applyFont="1" applyBorder="1" applyAlignment="1">
      <alignment horizontal="center" vertical="center"/>
    </xf>
    <xf numFmtId="164" fontId="5" fillId="0" borderId="49" xfId="0" applyNumberFormat="1" applyFont="1" applyBorder="1" applyAlignment="1">
      <alignment horizontal="center" vertical="center"/>
    </xf>
    <xf numFmtId="164" fontId="5" fillId="0" borderId="58" xfId="0" applyNumberFormat="1" applyFont="1" applyBorder="1" applyAlignment="1">
      <alignment horizontal="center" vertical="center"/>
    </xf>
    <xf numFmtId="164" fontId="5" fillId="0" borderId="49" xfId="0" applyNumberFormat="1" applyFont="1" applyBorder="1" applyAlignment="1">
      <alignment vertical="center"/>
    </xf>
    <xf numFmtId="164" fontId="5" fillId="0" borderId="58" xfId="0" applyNumberFormat="1" applyFont="1" applyBorder="1" applyAlignment="1">
      <alignment vertical="center"/>
    </xf>
    <xf numFmtId="164" fontId="5" fillId="0" borderId="59" xfId="0" applyNumberFormat="1" applyFont="1" applyBorder="1" applyAlignment="1">
      <alignment vertical="center"/>
    </xf>
    <xf numFmtId="164" fontId="5" fillId="0" borderId="59" xfId="0" applyNumberFormat="1" applyFont="1" applyBorder="1" applyAlignment="1">
      <alignment horizontal="center" vertical="center"/>
    </xf>
    <xf numFmtId="0" fontId="6" fillId="0" borderId="62" xfId="0" applyFont="1" applyBorder="1" applyAlignment="1">
      <alignment vertical="center"/>
    </xf>
    <xf numFmtId="164" fontId="6" fillId="0" borderId="62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vertical="center"/>
    </xf>
    <xf numFmtId="164" fontId="0" fillId="0" borderId="0" xfId="0" applyNumberFormat="1"/>
    <xf numFmtId="164" fontId="11" fillId="0" borderId="27" xfId="0" applyNumberFormat="1" applyFont="1" applyBorder="1"/>
    <xf numFmtId="164" fontId="11" fillId="0" borderId="24" xfId="0" applyNumberFormat="1" applyFont="1" applyBorder="1"/>
    <xf numFmtId="164" fontId="11" fillId="0" borderId="17" xfId="0" applyNumberFormat="1" applyFont="1" applyBorder="1"/>
    <xf numFmtId="164" fontId="11" fillId="0" borderId="16" xfId="0" applyNumberFormat="1" applyFont="1" applyBorder="1"/>
    <xf numFmtId="0" fontId="11" fillId="0" borderId="17" xfId="0" applyFont="1" applyBorder="1"/>
    <xf numFmtId="0" fontId="11" fillId="0" borderId="27" xfId="0" applyFont="1" applyBorder="1"/>
    <xf numFmtId="0" fontId="11" fillId="0" borderId="17" xfId="0" applyNumberFormat="1" applyFont="1" applyBorder="1"/>
    <xf numFmtId="2" fontId="11" fillId="0" borderId="5" xfId="0" applyNumberFormat="1" applyFont="1" applyBorder="1"/>
    <xf numFmtId="2" fontId="11" fillId="0" borderId="11" xfId="0" applyNumberFormat="1" applyFont="1" applyBorder="1"/>
    <xf numFmtId="0" fontId="1" fillId="3" borderId="14" xfId="0" applyFont="1" applyFill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/>
    </xf>
    <xf numFmtId="164" fontId="1" fillId="3" borderId="6" xfId="0" applyNumberFormat="1" applyFont="1" applyFill="1" applyBorder="1"/>
    <xf numFmtId="164" fontId="1" fillId="3" borderId="25" xfId="0" applyNumberFormat="1" applyFont="1" applyFill="1" applyBorder="1"/>
    <xf numFmtId="164" fontId="1" fillId="3" borderId="39" xfId="0" applyNumberFormat="1" applyFont="1" applyFill="1" applyBorder="1"/>
    <xf numFmtId="0" fontId="1" fillId="3" borderId="38" xfId="0" applyFont="1" applyFill="1" applyBorder="1" applyAlignment="1">
      <alignment horizontal="center" vertical="center"/>
    </xf>
    <xf numFmtId="0" fontId="1" fillId="3" borderId="45" xfId="0" applyFont="1" applyFill="1" applyBorder="1" applyAlignment="1">
      <alignment horizontal="center" vertical="center"/>
    </xf>
    <xf numFmtId="164" fontId="1" fillId="3" borderId="13" xfId="0" applyNumberFormat="1" applyFont="1" applyFill="1" applyBorder="1"/>
    <xf numFmtId="0" fontId="1" fillId="3" borderId="65" xfId="0" applyFont="1" applyFill="1" applyBorder="1"/>
    <xf numFmtId="164" fontId="1" fillId="3" borderId="9" xfId="0" applyNumberFormat="1" applyFont="1" applyFill="1" applyBorder="1" applyAlignment="1">
      <alignment vertical="center"/>
    </xf>
    <xf numFmtId="164" fontId="1" fillId="3" borderId="15" xfId="0" applyNumberFormat="1" applyFont="1" applyFill="1" applyBorder="1"/>
    <xf numFmtId="164" fontId="1" fillId="2" borderId="55" xfId="0" applyNumberFormat="1" applyFont="1" applyFill="1" applyBorder="1"/>
    <xf numFmtId="164" fontId="0" fillId="0" borderId="54" xfId="0" applyNumberFormat="1" applyBorder="1"/>
    <xf numFmtId="164" fontId="0" fillId="0" borderId="55" xfId="0" applyNumberFormat="1" applyBorder="1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33" xfId="0" applyBorder="1"/>
    <xf numFmtId="0" fontId="0" fillId="0" borderId="66" xfId="0" applyBorder="1"/>
    <xf numFmtId="0" fontId="0" fillId="0" borderId="68" xfId="0" applyBorder="1"/>
    <xf numFmtId="0" fontId="0" fillId="0" borderId="65" xfId="0" applyBorder="1"/>
    <xf numFmtId="0" fontId="0" fillId="0" borderId="70" xfId="0" applyBorder="1"/>
    <xf numFmtId="0" fontId="8" fillId="0" borderId="0" xfId="1"/>
    <xf numFmtId="11" fontId="8" fillId="0" borderId="0" xfId="1" applyNumberFormat="1"/>
    <xf numFmtId="0" fontId="12" fillId="0" borderId="0" xfId="1" applyFont="1" applyAlignment="1">
      <alignment horizontal="center"/>
    </xf>
    <xf numFmtId="0" fontId="13" fillId="0" borderId="0" xfId="1" applyFont="1" applyAlignment="1">
      <alignment horizontal="center"/>
    </xf>
    <xf numFmtId="0" fontId="8" fillId="0" borderId="0" xfId="1" applyAlignment="1">
      <alignment horizontal="center"/>
    </xf>
    <xf numFmtId="0" fontId="14" fillId="0" borderId="0" xfId="3"/>
    <xf numFmtId="0" fontId="12" fillId="0" borderId="0" xfId="1" applyFont="1" applyAlignment="1">
      <alignment horizontal="center" vertical="center"/>
    </xf>
    <xf numFmtId="0" fontId="15" fillId="0" borderId="0" xfId="0" applyFont="1"/>
    <xf numFmtId="0" fontId="13" fillId="0" borderId="0" xfId="1" applyFont="1"/>
    <xf numFmtId="0" fontId="1" fillId="3" borderId="3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3" borderId="54" xfId="0" applyFont="1" applyFill="1" applyBorder="1" applyAlignment="1">
      <alignment horizontal="center" vertical="center"/>
    </xf>
    <xf numFmtId="0" fontId="1" fillId="3" borderId="5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 textRotation="90" wrapText="1"/>
    </xf>
    <xf numFmtId="0" fontId="1" fillId="2" borderId="25" xfId="0" applyFont="1" applyFill="1" applyBorder="1" applyAlignment="1">
      <alignment horizontal="center" vertical="center" textRotation="90" wrapText="1"/>
    </xf>
    <xf numFmtId="0" fontId="1" fillId="2" borderId="39" xfId="0" applyFont="1" applyFill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textRotation="90" wrapText="1"/>
    </xf>
    <xf numFmtId="0" fontId="1" fillId="3" borderId="7" xfId="0" applyFont="1" applyFill="1" applyBorder="1" applyAlignment="1">
      <alignment horizontal="center" vertical="center" textRotation="90" wrapText="1"/>
    </xf>
    <xf numFmtId="0" fontId="1" fillId="3" borderId="13" xfId="0" applyFont="1" applyFill="1" applyBorder="1" applyAlignment="1">
      <alignment horizontal="center" vertical="center" textRotation="90" wrapText="1"/>
    </xf>
    <xf numFmtId="0" fontId="1" fillId="3" borderId="1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 textRotation="90" wrapText="1"/>
    </xf>
    <xf numFmtId="0" fontId="1" fillId="3" borderId="3" xfId="0" applyFont="1" applyFill="1" applyBorder="1" applyAlignment="1">
      <alignment horizontal="center" vertical="center" textRotation="90" wrapText="1"/>
    </xf>
    <xf numFmtId="0" fontId="1" fillId="3" borderId="9" xfId="0" applyFont="1" applyFill="1" applyBorder="1" applyAlignment="1">
      <alignment horizontal="center" vertical="center" textRotation="90" wrapText="1"/>
    </xf>
    <xf numFmtId="0" fontId="1" fillId="3" borderId="15" xfId="0" applyFont="1" applyFill="1" applyBorder="1" applyAlignment="1">
      <alignment horizontal="center" vertical="center" textRotation="90" wrapText="1"/>
    </xf>
    <xf numFmtId="0" fontId="1" fillId="0" borderId="2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3" borderId="52" xfId="0" applyFont="1" applyFill="1" applyBorder="1" applyAlignment="1">
      <alignment horizontal="center" vertical="center"/>
    </xf>
    <xf numFmtId="0" fontId="1" fillId="3" borderId="53" xfId="0" applyFont="1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 textRotation="90" wrapText="1"/>
    </xf>
    <xf numFmtId="2" fontId="0" fillId="0" borderId="67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69" xfId="0" applyNumberFormat="1" applyBorder="1" applyAlignment="1">
      <alignment horizontal="center"/>
    </xf>
    <xf numFmtId="2" fontId="0" fillId="0" borderId="65" xfId="0" applyNumberForma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3" borderId="32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wrapText="1"/>
    </xf>
    <xf numFmtId="0" fontId="2" fillId="0" borderId="17" xfId="0" applyFont="1" applyBorder="1" applyAlignment="1">
      <alignment horizontal="center" vertical="center" wrapText="1"/>
    </xf>
    <xf numFmtId="0" fontId="1" fillId="3" borderId="31" xfId="0" applyFont="1" applyFill="1" applyBorder="1" applyAlignment="1">
      <alignment horizontal="center" vertical="center" textRotation="90" wrapText="1"/>
    </xf>
    <xf numFmtId="0" fontId="1" fillId="0" borderId="13" xfId="0" applyFont="1" applyBorder="1" applyAlignment="1">
      <alignment horizontal="center" vertical="center"/>
    </xf>
    <xf numFmtId="0" fontId="1" fillId="3" borderId="35" xfId="0" applyFont="1" applyFill="1" applyBorder="1" applyAlignment="1">
      <alignment horizontal="center" vertical="center"/>
    </xf>
    <xf numFmtId="0" fontId="1" fillId="3" borderId="33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2" fontId="0" fillId="0" borderId="35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0" fontId="2" fillId="0" borderId="11" xfId="0" applyFont="1" applyBorder="1" applyAlignment="1">
      <alignment horizontal="center" vertical="center" textRotation="90"/>
    </xf>
    <xf numFmtId="0" fontId="2" fillId="0" borderId="11" xfId="0" applyFont="1" applyBorder="1" applyAlignment="1">
      <alignment horizontal="center"/>
    </xf>
    <xf numFmtId="0" fontId="2" fillId="0" borderId="8" xfId="0" applyFont="1" applyBorder="1" applyAlignment="1">
      <alignment horizontal="center" wrapText="1"/>
    </xf>
    <xf numFmtId="0" fontId="2" fillId="0" borderId="12" xfId="0" applyFont="1" applyBorder="1" applyAlignment="1">
      <alignment horizontal="center" wrapText="1"/>
    </xf>
    <xf numFmtId="0" fontId="2" fillId="0" borderId="8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3" borderId="11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textRotation="90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10" fillId="0" borderId="0" xfId="0" applyFont="1" applyAlignment="1">
      <alignment horizontal="center"/>
    </xf>
  </cellXfs>
  <cellStyles count="4">
    <cellStyle name="Гиперссылка" xfId="3" builtinId="8"/>
    <cellStyle name="Обычный" xfId="0" builtinId="0"/>
    <cellStyle name="Обычный 2" xfId="1"/>
    <cellStyle name="Обычный 3" xfId="2"/>
  </cellStyles>
  <dxfs count="3"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20" fmlaLink="$G$2" fmlaRange="Сводка!$A$33:$A$63" noThreeD="1" sel="12" val="1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175260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0</xdr:row>
          <xdr:rowOff>68580</xdr:rowOff>
        </xdr:from>
        <xdr:to>
          <xdr:col>9</xdr:col>
          <xdr:colOff>99060</xdr:colOff>
          <xdr:row>2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Ввод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</xdr:colOff>
          <xdr:row>1</xdr:row>
          <xdr:rowOff>22860</xdr:rowOff>
        </xdr:from>
        <xdr:to>
          <xdr:col>13</xdr:col>
          <xdr:colOff>617220</xdr:colOff>
          <xdr:row>2</xdr:row>
          <xdr:rowOff>15240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Корректировка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0</xdr:row>
          <xdr:rowOff>175260</xdr:rowOff>
        </xdr:from>
        <xdr:to>
          <xdr:col>10</xdr:col>
          <xdr:colOff>571500</xdr:colOff>
          <xdr:row>2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2</xdr:row>
          <xdr:rowOff>175260</xdr:rowOff>
        </xdr:from>
        <xdr:to>
          <xdr:col>13</xdr:col>
          <xdr:colOff>68580</xdr:colOff>
          <xdr:row>4</xdr:row>
          <xdr:rowOff>60960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d48564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AX63"/>
  <sheetViews>
    <sheetView tabSelected="1" topLeftCell="B1" zoomScaleNormal="100" workbookViewId="0">
      <selection activeCell="J36" sqref="J36:J39"/>
    </sheetView>
  </sheetViews>
  <sheetFormatPr defaultRowHeight="14.4" x14ac:dyDescent="0.3"/>
  <cols>
    <col min="1" max="1" width="0" hidden="1" customWidth="1"/>
    <col min="3" max="3" width="7.88671875" customWidth="1"/>
    <col min="4" max="4" width="11.5546875" customWidth="1"/>
    <col min="5" max="5" width="8.88671875" customWidth="1"/>
    <col min="6" max="7" width="9.6640625" customWidth="1"/>
    <col min="8" max="8" width="8" customWidth="1"/>
    <col min="9" max="9" width="7.6640625" customWidth="1"/>
    <col min="10" max="10" width="10.88671875" customWidth="1"/>
    <col min="11" max="11" width="9.33203125" bestFit="1" customWidth="1"/>
    <col min="12" max="12" width="9.33203125" customWidth="1"/>
    <col min="13" max="13" width="10.44140625" customWidth="1"/>
    <col min="14" max="14" width="9.5546875" customWidth="1"/>
    <col min="16" max="16" width="5.44140625" customWidth="1"/>
    <col min="17" max="17" width="7.88671875" customWidth="1"/>
    <col min="18" max="18" width="11.6640625" customWidth="1"/>
    <col min="19" max="19" width="11.5546875" customWidth="1"/>
    <col min="20" max="20" width="8" customWidth="1"/>
    <col min="21" max="21" width="7.44140625" customWidth="1"/>
    <col min="22" max="22" width="8.6640625" customWidth="1"/>
    <col min="23" max="23" width="7.6640625" customWidth="1"/>
    <col min="24" max="24" width="8.33203125" customWidth="1"/>
    <col min="25" max="25" width="8.109375" customWidth="1"/>
    <col min="26" max="26" width="6.6640625" customWidth="1"/>
    <col min="27" max="27" width="6.44140625" customWidth="1"/>
    <col min="28" max="28" width="5.6640625" customWidth="1"/>
    <col min="29" max="29" width="6.33203125" customWidth="1"/>
    <col min="30" max="30" width="8.6640625" customWidth="1"/>
    <col min="31" max="31" width="8.33203125" customWidth="1"/>
    <col min="32" max="34" width="9.33203125" customWidth="1"/>
    <col min="35" max="35" width="9.6640625" customWidth="1"/>
    <col min="37" max="37" width="8.88671875" hidden="1" customWidth="1"/>
    <col min="39" max="50" width="0" hidden="1" customWidth="1"/>
  </cols>
  <sheetData>
    <row r="1" spans="3:50" ht="15" x14ac:dyDescent="0.25">
      <c r="P1" s="221" t="str">
        <f>"Сводка за "&amp;G2&amp;" "&amp;'Исходные данные'!H4</f>
        <v>Сводка за 12 ноября</v>
      </c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1"/>
      <c r="AB1" s="221"/>
      <c r="AC1" s="221"/>
      <c r="AD1" s="221"/>
      <c r="AE1" s="221"/>
      <c r="AF1" s="221"/>
      <c r="AG1" s="221"/>
      <c r="AH1" s="221"/>
      <c r="AI1" s="221"/>
    </row>
    <row r="2" spans="3:50" ht="15.75" thickBot="1" x14ac:dyDescent="0.3">
      <c r="G2">
        <v>12</v>
      </c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</row>
    <row r="3" spans="3:50" ht="15" thickBot="1" x14ac:dyDescent="0.35">
      <c r="P3" s="187" t="s">
        <v>4</v>
      </c>
      <c r="Q3" s="225" t="s">
        <v>5</v>
      </c>
      <c r="R3" s="228" t="s">
        <v>19</v>
      </c>
      <c r="S3" s="228"/>
      <c r="T3" s="185" t="s">
        <v>27</v>
      </c>
      <c r="U3" s="185"/>
      <c r="V3" s="185"/>
      <c r="W3" s="185"/>
      <c r="X3" s="185"/>
      <c r="Y3" s="185"/>
      <c r="Z3" s="185" t="s">
        <v>24</v>
      </c>
      <c r="AA3" s="185"/>
      <c r="AB3" s="185" t="s">
        <v>62</v>
      </c>
      <c r="AC3" s="185"/>
      <c r="AD3" s="185" t="s">
        <v>32</v>
      </c>
      <c r="AE3" s="185"/>
      <c r="AF3" s="185"/>
      <c r="AG3" s="185"/>
      <c r="AH3" s="185"/>
      <c r="AI3" s="234"/>
      <c r="AK3" t="str">
        <f>ADDRESS(3,G2+3,1,1)</f>
        <v>$O$3</v>
      </c>
    </row>
    <row r="4" spans="3:50" ht="15.6" customHeight="1" x14ac:dyDescent="0.3">
      <c r="C4" s="172" t="s">
        <v>4</v>
      </c>
      <c r="D4" s="174" t="s">
        <v>5</v>
      </c>
      <c r="E4" s="232" t="s">
        <v>15</v>
      </c>
      <c r="F4" s="233"/>
      <c r="G4" s="233"/>
      <c r="H4" s="172" t="s">
        <v>25</v>
      </c>
      <c r="I4" s="176" t="s">
        <v>26</v>
      </c>
      <c r="J4" s="223" t="s">
        <v>16</v>
      </c>
      <c r="K4" s="224"/>
      <c r="L4" s="174"/>
      <c r="M4" s="180" t="s">
        <v>61</v>
      </c>
      <c r="N4" s="214" t="s">
        <v>60</v>
      </c>
      <c r="P4" s="188"/>
      <c r="Q4" s="226"/>
      <c r="R4" s="186" t="s">
        <v>20</v>
      </c>
      <c r="S4" s="186" t="s">
        <v>21</v>
      </c>
      <c r="T4" s="186" t="s">
        <v>29</v>
      </c>
      <c r="U4" s="186"/>
      <c r="V4" s="186"/>
      <c r="W4" s="186" t="s">
        <v>28</v>
      </c>
      <c r="X4" s="186"/>
      <c r="Y4" s="186"/>
      <c r="Z4" s="186"/>
      <c r="AA4" s="186"/>
      <c r="AB4" s="186"/>
      <c r="AC4" s="186"/>
      <c r="AD4" s="186" t="s">
        <v>29</v>
      </c>
      <c r="AE4" s="186"/>
      <c r="AF4" s="186"/>
      <c r="AG4" s="186" t="s">
        <v>28</v>
      </c>
      <c r="AH4" s="186"/>
      <c r="AI4" s="235"/>
      <c r="AK4" t="str">
        <f>ADDRESS(8,G2+3,1,1)</f>
        <v>$O$8</v>
      </c>
      <c r="AM4" s="172" t="s">
        <v>4</v>
      </c>
      <c r="AN4" s="174" t="s">
        <v>5</v>
      </c>
      <c r="AO4" s="232" t="s">
        <v>15</v>
      </c>
      <c r="AP4" s="233"/>
      <c r="AQ4" s="233"/>
      <c r="AR4" s="172" t="s">
        <v>25</v>
      </c>
      <c r="AS4" s="176" t="s">
        <v>26</v>
      </c>
      <c r="AT4" s="223" t="s">
        <v>16</v>
      </c>
      <c r="AU4" s="224"/>
      <c r="AV4" s="174"/>
      <c r="AW4" s="180" t="s">
        <v>61</v>
      </c>
      <c r="AX4" s="214" t="s">
        <v>60</v>
      </c>
    </row>
    <row r="5" spans="3:50" ht="15.6" customHeight="1" thickBot="1" x14ac:dyDescent="0.35">
      <c r="C5" s="173"/>
      <c r="D5" s="175"/>
      <c r="E5" s="30" t="s">
        <v>6</v>
      </c>
      <c r="F5" s="31" t="s">
        <v>7</v>
      </c>
      <c r="G5" s="73" t="str">
        <f>"+/-"</f>
        <v>+/-</v>
      </c>
      <c r="H5" s="173"/>
      <c r="I5" s="177"/>
      <c r="J5" s="32" t="s">
        <v>6</v>
      </c>
      <c r="K5" s="31" t="s">
        <v>7</v>
      </c>
      <c r="L5" s="73" t="str">
        <f>"+/-"</f>
        <v>+/-</v>
      </c>
      <c r="M5" s="181"/>
      <c r="N5" s="215"/>
      <c r="P5" s="189"/>
      <c r="Q5" s="227"/>
      <c r="R5" s="229"/>
      <c r="S5" s="229"/>
      <c r="T5" s="49" t="s">
        <v>6</v>
      </c>
      <c r="U5" s="49" t="s">
        <v>7</v>
      </c>
      <c r="V5" s="49" t="str">
        <f>"+/-"</f>
        <v>+/-</v>
      </c>
      <c r="W5" s="49" t="s">
        <v>6</v>
      </c>
      <c r="X5" s="49" t="s">
        <v>7</v>
      </c>
      <c r="Y5" s="49" t="str">
        <f>"+/-"</f>
        <v>+/-</v>
      </c>
      <c r="Z5" s="49" t="s">
        <v>30</v>
      </c>
      <c r="AA5" s="49" t="s">
        <v>31</v>
      </c>
      <c r="AB5" s="49" t="s">
        <v>30</v>
      </c>
      <c r="AC5" s="49" t="s">
        <v>31</v>
      </c>
      <c r="AD5" s="49" t="s">
        <v>6</v>
      </c>
      <c r="AE5" s="49" t="s">
        <v>7</v>
      </c>
      <c r="AF5" s="49" t="str">
        <f>"+/-"</f>
        <v>+/-</v>
      </c>
      <c r="AG5" s="49" t="s">
        <v>6</v>
      </c>
      <c r="AH5" s="49" t="s">
        <v>7</v>
      </c>
      <c r="AI5" s="38" t="str">
        <f>"+/-"</f>
        <v>+/-</v>
      </c>
      <c r="AK5" t="str">
        <f>ADDRESS(18,G2+3,1,1)</f>
        <v>$O$18</v>
      </c>
      <c r="AM5" s="173"/>
      <c r="AN5" s="175"/>
      <c r="AO5" s="30" t="s">
        <v>6</v>
      </c>
      <c r="AP5" s="31" t="s">
        <v>7</v>
      </c>
      <c r="AQ5" s="142" t="str">
        <f>"+/-"</f>
        <v>+/-</v>
      </c>
      <c r="AR5" s="173"/>
      <c r="AS5" s="177"/>
      <c r="AT5" s="147" t="s">
        <v>6</v>
      </c>
      <c r="AU5" s="143" t="s">
        <v>7</v>
      </c>
      <c r="AV5" s="148" t="str">
        <f>"+/-"</f>
        <v>+/-</v>
      </c>
      <c r="AW5" s="181"/>
      <c r="AX5" s="215"/>
    </row>
    <row r="6" spans="3:50" ht="15.6" x14ac:dyDescent="0.3">
      <c r="C6" s="230" t="s">
        <v>8</v>
      </c>
      <c r="D6" s="63" t="s">
        <v>0</v>
      </c>
      <c r="E6" s="64">
        <v>3200</v>
      </c>
      <c r="F6" s="65">
        <v>3200</v>
      </c>
      <c r="G6" s="63">
        <f>F6-E6</f>
        <v>0</v>
      </c>
      <c r="H6" s="209"/>
      <c r="I6" s="178"/>
      <c r="J6" s="87">
        <f>INDEX(Т!D13:AH13,1,Сводка!$G$2)</f>
        <v>3336.6666666666665</v>
      </c>
      <c r="K6" s="78">
        <v>7409</v>
      </c>
      <c r="L6" s="88">
        <f t="shared" ref="L6:L25" si="0">K6-J6</f>
        <v>4072.3333333333335</v>
      </c>
      <c r="M6" s="66">
        <f>SUM(Т!D18:INDEX(Т!D18:AH18,1,Сводка!$G$2-1))+K6</f>
        <v>36957.5</v>
      </c>
      <c r="N6" s="70"/>
      <c r="P6" s="182" t="s">
        <v>8</v>
      </c>
      <c r="Q6" s="7" t="s">
        <v>0</v>
      </c>
      <c r="R6" s="50">
        <f>'Исходные данные'!D6</f>
        <v>22197.77</v>
      </c>
      <c r="S6" s="140">
        <f>R6+X6-AH6+AC6-AA6</f>
        <v>23640.270000000004</v>
      </c>
      <c r="T6" s="39">
        <f>INDEX(Т!D3:AH3,1,Сводка!$G$2)</f>
        <v>3200</v>
      </c>
      <c r="U6" s="39">
        <f>INDEX(Т!D8:AH8,1,Сводка!$G$2)</f>
        <v>3200</v>
      </c>
      <c r="V6" s="39">
        <f>U6-T6</f>
        <v>0</v>
      </c>
      <c r="W6" s="39">
        <f>SUM(Т!D3:INDEX(Т!D3:AH3,1,Сводка!$G$2))</f>
        <v>38400</v>
      </c>
      <c r="X6" s="39">
        <f>SUM(Т!D8:INDEX(Т!D8:AH8,1,Сводка!$G$2))</f>
        <v>38400</v>
      </c>
      <c r="Y6" s="39">
        <f t="shared" ref="Y6:Y30" si="1">X6-W6</f>
        <v>0</v>
      </c>
      <c r="Z6" s="190">
        <f>INDEX(Т!D24:AH24,1,Сводка!$G$2)</f>
        <v>0</v>
      </c>
      <c r="AA6" s="190">
        <f>SUM(Т!D24:INDEX(Т!D24:AH24,1,Сводка!$G$2))</f>
        <v>0</v>
      </c>
      <c r="AB6" s="190">
        <f>INDEX(Т!D25:AH25,1,Сводка!$G$2)</f>
        <v>0</v>
      </c>
      <c r="AC6" s="190">
        <f>SUM(Т!D25:INDEX(Т!D25:AH25,1,Сводка!$G$2))</f>
        <v>0</v>
      </c>
      <c r="AD6" s="40">
        <f>INDEX(Т!D13:AH13,1,Сводка!$G$2)</f>
        <v>3336.6666666666665</v>
      </c>
      <c r="AE6" s="40">
        <f>INDEX(Т!D18:AH18,1,Сводка!$G$2)</f>
        <v>7409</v>
      </c>
      <c r="AF6" s="40">
        <f t="shared" ref="AF6:AF30" si="2">AE6-AD6</f>
        <v>4072.3333333333335</v>
      </c>
      <c r="AG6" s="40">
        <f>SUM(Т!D13:INDEX(Т!D13:AH13,1,Сводка!$G$2))</f>
        <v>40040</v>
      </c>
      <c r="AH6" s="40">
        <f>SUM(Т!D18:INDEX(Т!D18:AH18,1,Сводка!$G$2))</f>
        <v>36957.5</v>
      </c>
      <c r="AI6" s="41">
        <f t="shared" ref="AI6:AI30" si="3">AH6-AG6</f>
        <v>-3082.5</v>
      </c>
      <c r="AK6" t="str">
        <f>ADDRESS(24,G2+3,1,1)</f>
        <v>$O$24</v>
      </c>
      <c r="AM6" s="230" t="s">
        <v>8</v>
      </c>
      <c r="AN6" s="63" t="s">
        <v>0</v>
      </c>
      <c r="AO6" s="64">
        <f>E6-W6</f>
        <v>-35200</v>
      </c>
      <c r="AP6" s="64">
        <f>F6-X6</f>
        <v>-35200</v>
      </c>
      <c r="AQ6" s="63">
        <f>AP6-AO6</f>
        <v>0</v>
      </c>
      <c r="AR6" s="209">
        <f>H6-AA6</f>
        <v>0</v>
      </c>
      <c r="AS6" s="178">
        <f>I6-AC6</f>
        <v>0</v>
      </c>
      <c r="AT6" s="87">
        <f>INDEX(Т!AN13:BR13,1,Сводка!$G$2)</f>
        <v>0</v>
      </c>
      <c r="AU6" s="78">
        <f>K6-AH6</f>
        <v>-29548.5</v>
      </c>
      <c r="AV6" s="88">
        <f t="shared" ref="AV6:AV25" si="4">AU6-AT6</f>
        <v>-29548.5</v>
      </c>
      <c r="AW6" s="66">
        <f>SUM(Т!AN18:INDEX(Т!AN18:BR18,1,Сводка!$G$2-1))+AU6</f>
        <v>-29548.5</v>
      </c>
      <c r="AX6" s="70"/>
    </row>
    <row r="7" spans="3:50" ht="15.6" x14ac:dyDescent="0.3">
      <c r="C7" s="206"/>
      <c r="D7" s="16" t="s">
        <v>1</v>
      </c>
      <c r="E7" s="3"/>
      <c r="F7" s="4"/>
      <c r="G7" s="19">
        <f t="shared" ref="G7:G25" si="5">F7-E7</f>
        <v>0</v>
      </c>
      <c r="H7" s="209"/>
      <c r="I7" s="178"/>
      <c r="J7" s="89">
        <f>INDEX(Т!D14:AH14,1,Сводка!$G$2)</f>
        <v>0</v>
      </c>
      <c r="K7" s="77"/>
      <c r="L7" s="90">
        <f t="shared" si="0"/>
        <v>0</v>
      </c>
      <c r="M7" s="67">
        <f>SUM(Т!D19:INDEX(Т!D19:AH19,1,Сводка!$G$2-1))+K7</f>
        <v>0</v>
      </c>
      <c r="N7" s="71"/>
      <c r="P7" s="183"/>
      <c r="Q7" s="8" t="s">
        <v>1</v>
      </c>
      <c r="R7" s="51">
        <f>'Исходные данные'!D7</f>
        <v>15127</v>
      </c>
      <c r="S7" s="141">
        <f>R7+X7-AH7</f>
        <v>15127</v>
      </c>
      <c r="T7" s="5">
        <f>SUM(Т!D4:INDEX(Т!D4:AH4,1,Сводка!$G$2))</f>
        <v>0</v>
      </c>
      <c r="U7" s="5">
        <f>INDEX(Т!D9:AH9,1,Сводка!$G$2)</f>
        <v>0</v>
      </c>
      <c r="V7" s="5">
        <f t="shared" ref="V7:V30" si="6">U7-T7</f>
        <v>0</v>
      </c>
      <c r="W7" s="5">
        <f>SUM(Т!D4:INDEX(Т!D4:AH4,1,Сводка!$G$2))</f>
        <v>0</v>
      </c>
      <c r="X7" s="5">
        <f>SUM(Т!D9:INDEX(Т!D9:AH9,1,Сводка!$G$2))</f>
        <v>0</v>
      </c>
      <c r="Y7" s="5">
        <f t="shared" si="1"/>
        <v>0</v>
      </c>
      <c r="Z7" s="191"/>
      <c r="AA7" s="191"/>
      <c r="AB7" s="191"/>
      <c r="AC7" s="191"/>
      <c r="AD7" s="42">
        <f>INDEX(Т!D14:AH14,1,Сводка!$G$2)</f>
        <v>0</v>
      </c>
      <c r="AE7" s="42">
        <f>INDEX(Т!D19:AH19,1,Сводка!$G$2)</f>
        <v>0</v>
      </c>
      <c r="AF7" s="42">
        <f t="shared" si="2"/>
        <v>0</v>
      </c>
      <c r="AG7" s="42">
        <f>SUM(Т!D14:INDEX(Т!D14:AH14,1,Сводка!$G$2))</f>
        <v>0</v>
      </c>
      <c r="AH7" s="42">
        <f>SUM(Т!D19:INDEX(Т!D19:AH19,1,Сводка!$G$2))</f>
        <v>0</v>
      </c>
      <c r="AI7" s="43">
        <f t="shared" si="3"/>
        <v>0</v>
      </c>
      <c r="AK7" t="str">
        <f>ADDRESS(25,G2+3,1,1)</f>
        <v>$O$25</v>
      </c>
      <c r="AM7" s="206"/>
      <c r="AN7" s="16" t="s">
        <v>1</v>
      </c>
      <c r="AO7" s="64">
        <f t="shared" ref="AO7:AO9" si="7">E7-W7</f>
        <v>0</v>
      </c>
      <c r="AP7" s="64">
        <f t="shared" ref="AP7:AP9" si="8">F7-X7</f>
        <v>0</v>
      </c>
      <c r="AQ7" s="19">
        <f t="shared" ref="AQ7:AQ25" si="9">AP7-AO7</f>
        <v>0</v>
      </c>
      <c r="AR7" s="209"/>
      <c r="AS7" s="178"/>
      <c r="AT7" s="89">
        <f>INDEX(Т!AN14:BR14,1,Сводка!$G$2)</f>
        <v>0</v>
      </c>
      <c r="AU7" s="77">
        <f>K7-AH7</f>
        <v>0</v>
      </c>
      <c r="AV7" s="90">
        <f t="shared" si="4"/>
        <v>0</v>
      </c>
      <c r="AW7" s="67">
        <f>SUM(Т!AN19:INDEX(Т!AN19:BR19,1,Сводка!$G$2-1))+AU7</f>
        <v>0</v>
      </c>
      <c r="AX7" s="71"/>
    </row>
    <row r="8" spans="3:50" ht="15.6" x14ac:dyDescent="0.3">
      <c r="C8" s="206"/>
      <c r="D8" s="16" t="s">
        <v>2</v>
      </c>
      <c r="E8" s="3"/>
      <c r="F8" s="4"/>
      <c r="G8" s="19">
        <f t="shared" si="5"/>
        <v>0</v>
      </c>
      <c r="H8" s="209"/>
      <c r="I8" s="178"/>
      <c r="J8" s="89">
        <f>INDEX(Т!D15:AH15,1,Сводка!$G$2)</f>
        <v>0</v>
      </c>
      <c r="K8" s="77"/>
      <c r="L8" s="90">
        <f t="shared" si="0"/>
        <v>0</v>
      </c>
      <c r="M8" s="67">
        <f>SUM(Т!D20:INDEX(Т!D20:AH20,1,Сводка!$G$2-1))+K8</f>
        <v>0</v>
      </c>
      <c r="N8" s="71"/>
      <c r="P8" s="183"/>
      <c r="Q8" s="8" t="s">
        <v>2</v>
      </c>
      <c r="R8" s="51">
        <f>'Исходные данные'!D8</f>
        <v>0</v>
      </c>
      <c r="S8" s="141">
        <f>R8+X8-AH8</f>
        <v>0</v>
      </c>
      <c r="T8" s="5">
        <f>SUM(Т!D5:INDEX(Т!D5:AH5,1,Сводка!$G$2))</f>
        <v>0</v>
      </c>
      <c r="U8" s="5">
        <f>INDEX(Т!D10:AH10,1,Сводка!$G$2)</f>
        <v>0</v>
      </c>
      <c r="V8" s="5">
        <f t="shared" si="6"/>
        <v>0</v>
      </c>
      <c r="W8" s="5">
        <f>SUM(Т!D5:INDEX(Т!D5:AH5,1,Сводка!$G$2))</f>
        <v>0</v>
      </c>
      <c r="X8" s="5">
        <f>SUM(Т!D10:INDEX(Т!D10:AH10,1,Сводка!$G$2))</f>
        <v>0</v>
      </c>
      <c r="Y8" s="5">
        <f t="shared" si="1"/>
        <v>0</v>
      </c>
      <c r="Z8" s="191"/>
      <c r="AA8" s="191"/>
      <c r="AB8" s="191"/>
      <c r="AC8" s="191"/>
      <c r="AD8" s="42">
        <f>INDEX(Т!D15:AH15,1,Сводка!$G$2)</f>
        <v>0</v>
      </c>
      <c r="AE8" s="42">
        <f>INDEX(Т!D20:AH20,1,Сводка!$G$2)</f>
        <v>0</v>
      </c>
      <c r="AF8" s="42">
        <f t="shared" si="2"/>
        <v>0</v>
      </c>
      <c r="AG8" s="42">
        <f>SUM(Т!D15:INDEX(Т!D15:AH15,1,Сводка!$G$2))</f>
        <v>0</v>
      </c>
      <c r="AH8" s="42">
        <f>SUM(Т!D20:INDEX(Т!D20:AH20,1,Сводка!$G$2))</f>
        <v>0</v>
      </c>
      <c r="AI8" s="43">
        <f t="shared" si="3"/>
        <v>0</v>
      </c>
      <c r="AK8" t="str">
        <f>ADDRESS(4,G2+3,1,1)</f>
        <v>$O$4</v>
      </c>
      <c r="AM8" s="206"/>
      <c r="AN8" s="16" t="s">
        <v>2</v>
      </c>
      <c r="AO8" s="64">
        <f t="shared" si="7"/>
        <v>0</v>
      </c>
      <c r="AP8" s="64">
        <f t="shared" si="8"/>
        <v>0</v>
      </c>
      <c r="AQ8" s="19">
        <f t="shared" si="9"/>
        <v>0</v>
      </c>
      <c r="AR8" s="209"/>
      <c r="AS8" s="178"/>
      <c r="AT8" s="89">
        <f>INDEX(Т!AN15:BR15,1,Сводка!$G$2)</f>
        <v>0</v>
      </c>
      <c r="AU8" s="77">
        <f t="shared" ref="AU8:AU9" si="10">K8-AH8</f>
        <v>0</v>
      </c>
      <c r="AV8" s="90">
        <f t="shared" si="4"/>
        <v>0</v>
      </c>
      <c r="AW8" s="67">
        <f>SUM(Т!AN20:INDEX(Т!AN20:BR20,1,Сводка!$G$2-1))+AU8</f>
        <v>0</v>
      </c>
      <c r="AX8" s="71"/>
    </row>
    <row r="9" spans="3:50" ht="15.6" x14ac:dyDescent="0.3">
      <c r="C9" s="206"/>
      <c r="D9" s="16" t="s">
        <v>3</v>
      </c>
      <c r="E9" s="3"/>
      <c r="F9" s="4"/>
      <c r="G9" s="19">
        <f t="shared" si="5"/>
        <v>0</v>
      </c>
      <c r="H9" s="209"/>
      <c r="I9" s="178"/>
      <c r="J9" s="89">
        <f>INDEX(Т!D16:AH16,1,Сводка!$G$2)</f>
        <v>0</v>
      </c>
      <c r="K9" s="77"/>
      <c r="L9" s="90">
        <f t="shared" si="0"/>
        <v>0</v>
      </c>
      <c r="M9" s="67">
        <f>SUM(Т!D21:INDEX(Т!D21:AH21,1,Сводка!$G$2-1))+K9</f>
        <v>0</v>
      </c>
      <c r="N9" s="71"/>
      <c r="P9" s="183"/>
      <c r="Q9" s="8" t="s">
        <v>3</v>
      </c>
      <c r="R9" s="51">
        <f>'Исходные данные'!D9</f>
        <v>60110</v>
      </c>
      <c r="S9" s="141">
        <f>R9+X9-AH9-AC6</f>
        <v>60110</v>
      </c>
      <c r="T9" s="5">
        <f>SUM(Т!D6:INDEX(Т!D6:AH6,1,Сводка!$G$2))</f>
        <v>0</v>
      </c>
      <c r="U9" s="5">
        <f>INDEX(Т!D11:AH11,1,Сводка!$G$2)</f>
        <v>0</v>
      </c>
      <c r="V9" s="5">
        <f t="shared" si="6"/>
        <v>0</v>
      </c>
      <c r="W9" s="5">
        <f>SUM(Т!D6:INDEX(Т!D6:AH6,1,Сводка!$G$2))</f>
        <v>0</v>
      </c>
      <c r="X9" s="5">
        <f>SUM(Т!D11:INDEX(Т!D11:AH11,1,Сводка!$G$2))</f>
        <v>0</v>
      </c>
      <c r="Y9" s="5">
        <f t="shared" si="1"/>
        <v>0</v>
      </c>
      <c r="Z9" s="191"/>
      <c r="AA9" s="191"/>
      <c r="AB9" s="191"/>
      <c r="AC9" s="191"/>
      <c r="AD9" s="42">
        <f>INDEX(Т!D16:AH16,1,Сводка!$G$2)</f>
        <v>0</v>
      </c>
      <c r="AE9" s="42">
        <f>INDEX(Т!D21:AH21,1,Сводка!$G$2)</f>
        <v>0</v>
      </c>
      <c r="AF9" s="42">
        <f t="shared" si="2"/>
        <v>0</v>
      </c>
      <c r="AG9" s="42">
        <f>SUM(Т!D16:INDEX(Т!D16:AH16,1,Сводка!$G$2))</f>
        <v>0</v>
      </c>
      <c r="AH9" s="42">
        <f>SUM(Т!D21:INDEX(Т!D21:AH21,1,Сводка!$G$2))</f>
        <v>0</v>
      </c>
      <c r="AI9" s="43">
        <f t="shared" si="3"/>
        <v>0</v>
      </c>
      <c r="AK9" t="str">
        <f>ADDRESS(23,G2+3,1,1)</f>
        <v>$O$23</v>
      </c>
      <c r="AM9" s="206"/>
      <c r="AN9" s="16" t="s">
        <v>3</v>
      </c>
      <c r="AO9" s="64">
        <f t="shared" si="7"/>
        <v>0</v>
      </c>
      <c r="AP9" s="64">
        <f t="shared" si="8"/>
        <v>0</v>
      </c>
      <c r="AQ9" s="19">
        <f t="shared" si="9"/>
        <v>0</v>
      </c>
      <c r="AR9" s="209"/>
      <c r="AS9" s="178"/>
      <c r="AT9" s="89">
        <f>INDEX(Т!AN16:BR16,1,Сводка!$G$2)</f>
        <v>0</v>
      </c>
      <c r="AU9" s="77">
        <f t="shared" si="10"/>
        <v>0</v>
      </c>
      <c r="AV9" s="90">
        <f t="shared" si="4"/>
        <v>0</v>
      </c>
      <c r="AW9" s="67">
        <f>SUM(Т!AN21:INDEX(Т!AN21:BR21,1,Сводка!$G$2-1))+AU9</f>
        <v>0</v>
      </c>
      <c r="AX9" s="71"/>
    </row>
    <row r="10" spans="3:50" ht="16.2" thickBot="1" x14ac:dyDescent="0.35">
      <c r="C10" s="207"/>
      <c r="D10" s="17" t="s">
        <v>9</v>
      </c>
      <c r="E10" s="14">
        <f>SUM(E6:E9)</f>
        <v>3200</v>
      </c>
      <c r="F10" s="11">
        <f>SUM(F6:F9)</f>
        <v>3200</v>
      </c>
      <c r="G10" s="17">
        <f t="shared" si="5"/>
        <v>0</v>
      </c>
      <c r="H10" s="231"/>
      <c r="I10" s="179"/>
      <c r="J10" s="92">
        <f>INDEX(Т!D17:AH17,1,Сводка!$G$2)</f>
        <v>3336.6666666666665</v>
      </c>
      <c r="K10" s="23">
        <f>SUM(K6:K9)</f>
        <v>7409</v>
      </c>
      <c r="L10" s="91">
        <f t="shared" si="0"/>
        <v>4072.3333333333335</v>
      </c>
      <c r="M10" s="74">
        <f>SUM(Т!D22:INDEX(Т!D22:AH22,1,Сводка!$G$2-1))+K10</f>
        <v>36957.5</v>
      </c>
      <c r="N10" s="72">
        <v>58.5</v>
      </c>
      <c r="P10" s="216"/>
      <c r="Q10" s="33" t="s">
        <v>9</v>
      </c>
      <c r="R10" s="52">
        <f>'Исходные данные'!D10</f>
        <v>97434.77</v>
      </c>
      <c r="S10" s="52">
        <f>SUM(S6:S9)</f>
        <v>98877.27</v>
      </c>
      <c r="T10" s="138">
        <f>INDEX(Т!D7:AH7,1,Сводка!$G$2)</f>
        <v>3200</v>
      </c>
      <c r="U10" s="138">
        <f>INDEX(Т!D12:AH12,1,Сводка!$G$2)</f>
        <v>3200</v>
      </c>
      <c r="V10" s="138">
        <f t="shared" si="6"/>
        <v>0</v>
      </c>
      <c r="W10" s="138">
        <f>SUM(Т!D7:INDEX(Т!D7:AH7,1,Сводка!$G$2))</f>
        <v>38400</v>
      </c>
      <c r="X10" s="138">
        <f>SUM(Т!D12:INDEX(Т!D12:AH12,1,Сводка!$G$2))</f>
        <v>38400</v>
      </c>
      <c r="Y10" s="138">
        <f t="shared" si="1"/>
        <v>0</v>
      </c>
      <c r="Z10" s="191"/>
      <c r="AA10" s="191"/>
      <c r="AB10" s="191"/>
      <c r="AC10" s="191"/>
      <c r="AD10" s="133">
        <f>INDEX(Т!D17:AH17,1,Сводка!$G$2)</f>
        <v>3336.6666666666665</v>
      </c>
      <c r="AE10" s="133">
        <f>INDEX(Т!D22:AH22,1,Сводка!$G$2)</f>
        <v>7409</v>
      </c>
      <c r="AF10" s="133">
        <f t="shared" si="2"/>
        <v>4072.3333333333335</v>
      </c>
      <c r="AG10" s="133">
        <f>SUM(Т!D17:INDEX(Т!D17:AH17,1,Сводка!$G$2))</f>
        <v>40040</v>
      </c>
      <c r="AH10" s="133">
        <f>SUM(Т!D22:INDEX(Т!D22:AH22,1,Сводка!$G$2))</f>
        <v>36957.5</v>
      </c>
      <c r="AI10" s="134">
        <f t="shared" si="3"/>
        <v>-3082.5</v>
      </c>
      <c r="AM10" s="207"/>
      <c r="AN10" s="17" t="s">
        <v>9</v>
      </c>
      <c r="AO10" s="14">
        <f>SUM(AO6:AO9)</f>
        <v>-35200</v>
      </c>
      <c r="AP10" s="11">
        <f>SUM(AP6:AP9)</f>
        <v>-35200</v>
      </c>
      <c r="AQ10" s="17">
        <f t="shared" si="9"/>
        <v>0</v>
      </c>
      <c r="AR10" s="231"/>
      <c r="AS10" s="179"/>
      <c r="AT10" s="149">
        <f>INDEX(Т!AN17:BR17,1,Сводка!$G$2)</f>
        <v>0</v>
      </c>
      <c r="AU10" s="23">
        <f>SUM(AU6:AU9)</f>
        <v>-29548.5</v>
      </c>
      <c r="AV10" s="91">
        <f t="shared" si="4"/>
        <v>-29548.5</v>
      </c>
      <c r="AW10" s="74">
        <f>SUM(Т!AN22:INDEX(Т!AN22:BR22,1,Сводка!$G$2-1))+AU10</f>
        <v>-29548.5</v>
      </c>
      <c r="AX10" s="72">
        <v>58.5</v>
      </c>
    </row>
    <row r="11" spans="3:50" ht="15.6" x14ac:dyDescent="0.3">
      <c r="C11" s="205" t="s">
        <v>10</v>
      </c>
      <c r="D11" s="15" t="s">
        <v>0</v>
      </c>
      <c r="E11" s="107">
        <v>4700</v>
      </c>
      <c r="F11" s="2">
        <v>4700</v>
      </c>
      <c r="G11" s="15">
        <f t="shared" si="5"/>
        <v>0</v>
      </c>
      <c r="H11" s="222"/>
      <c r="I11" s="211"/>
      <c r="J11" s="66">
        <f>INDEX(Г!D13:AH13,1,Сводка!$G$2)</f>
        <v>3220</v>
      </c>
      <c r="K11" s="93">
        <v>3709.5</v>
      </c>
      <c r="L11" s="58">
        <f t="shared" si="0"/>
        <v>489.5</v>
      </c>
      <c r="M11" s="66">
        <f>SUM(Г!D18:INDEX(Г!D18:AH18,1,Сводка!$G$2-1))+K11</f>
        <v>11122.5</v>
      </c>
      <c r="N11" s="70"/>
      <c r="P11" s="182" t="s">
        <v>10</v>
      </c>
      <c r="Q11" s="7" t="s">
        <v>0</v>
      </c>
      <c r="R11" s="50">
        <f>'Исходные данные'!D11</f>
        <v>47650.46</v>
      </c>
      <c r="S11" s="140">
        <f>R11+X11-AH11+AC11-AA11</f>
        <v>59927.959999999992</v>
      </c>
      <c r="T11" s="39">
        <f>INDEX(Г!D3:AH3,1,Сводка!$G$2)</f>
        <v>4700</v>
      </c>
      <c r="U11" s="39">
        <f>INDEX(Г!D8:AH8,1,Сводка!$G$2)</f>
        <v>4700</v>
      </c>
      <c r="V11" s="39">
        <f t="shared" si="6"/>
        <v>0</v>
      </c>
      <c r="W11" s="39">
        <f>SUM(Г!D3:INDEX(Г!D3:AH3,1,Сводка!$G$2))</f>
        <v>24000</v>
      </c>
      <c r="X11" s="39">
        <f>SUM(Г!D8:INDEX(Г!D8:AH8,1,Сводка!$G$2))</f>
        <v>23400</v>
      </c>
      <c r="Y11" s="39">
        <f t="shared" si="1"/>
        <v>-600</v>
      </c>
      <c r="Z11" s="190">
        <f>INDEX(Г!D24:AH24,1,Сводка!$G$2)</f>
        <v>0</v>
      </c>
      <c r="AA11" s="190">
        <f>SUM(Г!D24:INDEX(Г!D24:AH24,1,Сводка!$G$2))</f>
        <v>0</v>
      </c>
      <c r="AB11" s="190">
        <f>INDEX(Г!D25:AH25,1,Сводка!$G$2)</f>
        <v>0</v>
      </c>
      <c r="AC11" s="190">
        <f>SUM(Г!D25:INDEX(Г!D25:AH25,1,Сводка!$G$2))</f>
        <v>0</v>
      </c>
      <c r="AD11" s="40">
        <f>INDEX(Г!D13:AH13,1,Сводка!$G$2)</f>
        <v>3220</v>
      </c>
      <c r="AE11" s="40">
        <f>INDEX(Г!D18:AH18,1,Сводка!$G$2)</f>
        <v>3709.5</v>
      </c>
      <c r="AF11" s="40">
        <f t="shared" si="2"/>
        <v>489.5</v>
      </c>
      <c r="AG11" s="40">
        <f>SUM(Г!D13:INDEX(Г!D13:AH13,1,Сводка!$G$2))</f>
        <v>38640</v>
      </c>
      <c r="AH11" s="40">
        <f>SUM(Г!D18:INDEX(Г!D18:AH18,1,Сводка!$G$2))</f>
        <v>11122.5</v>
      </c>
      <c r="AI11" s="41">
        <f t="shared" si="3"/>
        <v>-27517.5</v>
      </c>
      <c r="AL11" s="69"/>
      <c r="AM11" s="205" t="s">
        <v>10</v>
      </c>
      <c r="AN11" s="15" t="s">
        <v>0</v>
      </c>
      <c r="AO11" s="64">
        <f>E11-W11</f>
        <v>-19300</v>
      </c>
      <c r="AP11" s="64">
        <f>F11-X11</f>
        <v>-18700</v>
      </c>
      <c r="AQ11" s="15">
        <f t="shared" si="9"/>
        <v>600</v>
      </c>
      <c r="AR11" s="209">
        <f>H11-AA11</f>
        <v>0</v>
      </c>
      <c r="AS11" s="178">
        <f>I11-AC11</f>
        <v>0</v>
      </c>
      <c r="AT11" s="144">
        <f>INDEX(Г!AN13:BR13,1,Сводка!$G$2)</f>
        <v>0</v>
      </c>
      <c r="AU11" s="78">
        <f t="shared" ref="AU11:AU14" si="11">K11-AH11</f>
        <v>-7413</v>
      </c>
      <c r="AV11" s="88">
        <f t="shared" si="4"/>
        <v>-7413</v>
      </c>
      <c r="AW11" s="66">
        <f>SUM(Г!AN18:INDEX(Г!AN18:BR18,1,Сводка!$G$2-1))+AU11</f>
        <v>-7413</v>
      </c>
      <c r="AX11" s="70"/>
    </row>
    <row r="12" spans="3:50" ht="15.6" x14ac:dyDescent="0.3">
      <c r="C12" s="206"/>
      <c r="D12" s="16" t="s">
        <v>1</v>
      </c>
      <c r="E12" s="3"/>
      <c r="F12" s="4"/>
      <c r="G12" s="19">
        <f t="shared" si="5"/>
        <v>0</v>
      </c>
      <c r="H12" s="209"/>
      <c r="I12" s="212"/>
      <c r="J12" s="95">
        <f>INDEX(Г!D14:AH14,1,Сводка!$G$2)</f>
        <v>0</v>
      </c>
      <c r="K12" s="94"/>
      <c r="L12" s="59">
        <f t="shared" si="0"/>
        <v>0</v>
      </c>
      <c r="M12" s="67">
        <f>SUM(Г!D19:INDEX(Г!D19:AH19,1,Сводка!$G$2-1))+K12</f>
        <v>0</v>
      </c>
      <c r="N12" s="71"/>
      <c r="P12" s="183"/>
      <c r="Q12" s="8" t="s">
        <v>1</v>
      </c>
      <c r="R12" s="51">
        <f>'Исходные данные'!D12</f>
        <v>0</v>
      </c>
      <c r="S12" s="141">
        <f>R12+X12-AH12</f>
        <v>0</v>
      </c>
      <c r="T12" s="5">
        <f>INDEX(Г!D4:AH4,1,Сводка!$G$2)</f>
        <v>0</v>
      </c>
      <c r="U12" s="5">
        <f>INDEX(Г!D9:AH9,1,Сводка!$G$2)</f>
        <v>0</v>
      </c>
      <c r="V12" s="5">
        <f t="shared" si="6"/>
        <v>0</v>
      </c>
      <c r="W12" s="5">
        <f>SUM(Г!D4:INDEX(Г!D4:AH4,1,Сводка!$G$2))</f>
        <v>0</v>
      </c>
      <c r="X12" s="5">
        <f>SUM(Г!D9:INDEX(Г!D9:AH9,1,Сводка!$G$2))</f>
        <v>0</v>
      </c>
      <c r="Y12" s="5">
        <f t="shared" si="1"/>
        <v>0</v>
      </c>
      <c r="Z12" s="191"/>
      <c r="AA12" s="191"/>
      <c r="AB12" s="191"/>
      <c r="AC12" s="191"/>
      <c r="AD12" s="42">
        <f>INDEX(Г!D14:AH14,1,Сводка!$G$2)</f>
        <v>0</v>
      </c>
      <c r="AE12" s="42">
        <f>INDEX(Г!D19:AH19,1,Сводка!$G$2)</f>
        <v>0</v>
      </c>
      <c r="AF12" s="42">
        <f t="shared" si="2"/>
        <v>0</v>
      </c>
      <c r="AG12" s="42">
        <f>SUM(Г!D14:INDEX(Г!D14:AH14,1,Сводка!$G$2))</f>
        <v>0</v>
      </c>
      <c r="AH12" s="42">
        <f>SUM(Г!D19:INDEX(Г!D19:AH19,1,Сводка!$G$2))</f>
        <v>0</v>
      </c>
      <c r="AI12" s="43">
        <f t="shared" si="3"/>
        <v>0</v>
      </c>
      <c r="AM12" s="206"/>
      <c r="AN12" s="16" t="s">
        <v>1</v>
      </c>
      <c r="AO12" s="64">
        <f t="shared" ref="AO12:AP14" si="12">E12-W12</f>
        <v>0</v>
      </c>
      <c r="AP12" s="64">
        <f t="shared" si="12"/>
        <v>0</v>
      </c>
      <c r="AQ12" s="19">
        <f t="shared" si="9"/>
        <v>0</v>
      </c>
      <c r="AR12" s="209"/>
      <c r="AS12" s="178"/>
      <c r="AT12" s="145">
        <f>INDEX(Г!AN14:BR14,1,Сводка!$G$2)</f>
        <v>0</v>
      </c>
      <c r="AU12" s="77">
        <f t="shared" si="11"/>
        <v>0</v>
      </c>
      <c r="AV12" s="90">
        <f t="shared" si="4"/>
        <v>0</v>
      </c>
      <c r="AW12" s="67">
        <f>SUM(Г!AN19:INDEX(Г!AN19:BR19,1,Сводка!$G$2-1))+AU12</f>
        <v>0</v>
      </c>
      <c r="AX12" s="71"/>
    </row>
    <row r="13" spans="3:50" ht="15.6" x14ac:dyDescent="0.3">
      <c r="C13" s="206"/>
      <c r="D13" s="16" t="s">
        <v>2</v>
      </c>
      <c r="E13" s="3"/>
      <c r="F13" s="4"/>
      <c r="G13" s="19">
        <f t="shared" si="5"/>
        <v>0</v>
      </c>
      <c r="H13" s="209"/>
      <c r="I13" s="212"/>
      <c r="J13" s="95">
        <f>INDEX(Г!D15:AH15,1,Сводка!$G$2)</f>
        <v>0</v>
      </c>
      <c r="K13" s="94"/>
      <c r="L13" s="59">
        <f t="shared" si="0"/>
        <v>0</v>
      </c>
      <c r="M13" s="67">
        <f>SUM(Г!D20:INDEX(Г!D20:AH20,1,Сводка!$G$2-1))+K13</f>
        <v>0</v>
      </c>
      <c r="N13" s="71"/>
      <c r="P13" s="183"/>
      <c r="Q13" s="8" t="s">
        <v>2</v>
      </c>
      <c r="R13" s="51">
        <f>'Исходные данные'!D13</f>
        <v>0</v>
      </c>
      <c r="S13" s="141">
        <f>R13+X13-AH13</f>
        <v>0</v>
      </c>
      <c r="T13" s="5">
        <f>INDEX(Г!D5:AH5,1,Сводка!$G$2)</f>
        <v>0</v>
      </c>
      <c r="U13" s="5">
        <f>INDEX(Г!D10:AH10,1,Сводка!$G$2)</f>
        <v>0</v>
      </c>
      <c r="V13" s="5">
        <f t="shared" si="6"/>
        <v>0</v>
      </c>
      <c r="W13" s="5">
        <f>SUM(Г!D5:INDEX(Г!D5:AH5,1,Сводка!$G$2))</f>
        <v>0</v>
      </c>
      <c r="X13" s="5">
        <f>SUM(Г!D10:INDEX(Г!D10:AH10,1,Сводка!$G$2))</f>
        <v>0</v>
      </c>
      <c r="Y13" s="5">
        <f t="shared" si="1"/>
        <v>0</v>
      </c>
      <c r="Z13" s="191"/>
      <c r="AA13" s="191"/>
      <c r="AB13" s="191"/>
      <c r="AC13" s="191"/>
      <c r="AD13" s="42">
        <f>INDEX(Г!D15:AH15,1,Сводка!$G$2)</f>
        <v>0</v>
      </c>
      <c r="AE13" s="42">
        <f>INDEX(Г!D20:AH20,1,Сводка!$G$2)</f>
        <v>0</v>
      </c>
      <c r="AF13" s="42">
        <f t="shared" si="2"/>
        <v>0</v>
      </c>
      <c r="AG13" s="42">
        <f>SUM(Г!D15:INDEX(Г!D15:AH15,1,Сводка!$G$2))</f>
        <v>0</v>
      </c>
      <c r="AH13" s="42">
        <f>SUM(Г!D20:INDEX(Г!D20:AH20,1,Сводка!$G$2))</f>
        <v>0</v>
      </c>
      <c r="AI13" s="43">
        <f t="shared" si="3"/>
        <v>0</v>
      </c>
      <c r="AM13" s="206"/>
      <c r="AN13" s="16" t="s">
        <v>2</v>
      </c>
      <c r="AO13" s="64">
        <f t="shared" si="12"/>
        <v>0</v>
      </c>
      <c r="AP13" s="64">
        <f t="shared" si="12"/>
        <v>0</v>
      </c>
      <c r="AQ13" s="19">
        <f t="shared" si="9"/>
        <v>0</v>
      </c>
      <c r="AR13" s="209"/>
      <c r="AS13" s="178"/>
      <c r="AT13" s="145">
        <f>INDEX(Г!AN15:BR15,1,Сводка!$G$2)</f>
        <v>0</v>
      </c>
      <c r="AU13" s="77">
        <f t="shared" si="11"/>
        <v>0</v>
      </c>
      <c r="AV13" s="90">
        <f t="shared" si="4"/>
        <v>0</v>
      </c>
      <c r="AW13" s="67">
        <f>SUM(Г!AN20:INDEX(Г!AN20:BR20,1,Сводка!$G$2-1))+AU13</f>
        <v>0</v>
      </c>
      <c r="AX13" s="71"/>
    </row>
    <row r="14" spans="3:50" ht="15.6" x14ac:dyDescent="0.3">
      <c r="C14" s="206"/>
      <c r="D14" s="16" t="s">
        <v>3</v>
      </c>
      <c r="E14" s="3"/>
      <c r="F14" s="4"/>
      <c r="G14" s="19">
        <f t="shared" si="5"/>
        <v>0</v>
      </c>
      <c r="H14" s="209"/>
      <c r="I14" s="212"/>
      <c r="J14" s="95">
        <f>INDEX(Г!D16:AH16,1,Сводка!$G$2)</f>
        <v>0</v>
      </c>
      <c r="K14" s="94"/>
      <c r="L14" s="59">
        <f t="shared" si="0"/>
        <v>0</v>
      </c>
      <c r="M14" s="67">
        <f>SUM(Г!D21:INDEX(Г!D21:AH21,1,Сводка!$G$2-1))+K14</f>
        <v>0</v>
      </c>
      <c r="N14" s="71"/>
      <c r="P14" s="183"/>
      <c r="Q14" s="8" t="s">
        <v>3</v>
      </c>
      <c r="R14" s="51">
        <f>'Исходные данные'!D14</f>
        <v>231651</v>
      </c>
      <c r="S14" s="141">
        <f>R14+X14-AH14-AC11</f>
        <v>231651</v>
      </c>
      <c r="T14" s="5">
        <f>INDEX(Г!D6:AH6,1,Сводка!$G$2)</f>
        <v>0</v>
      </c>
      <c r="U14" s="5">
        <f>INDEX(Г!D11:AH11,1,Сводка!$G$2)</f>
        <v>0</v>
      </c>
      <c r="V14" s="5">
        <f t="shared" si="6"/>
        <v>0</v>
      </c>
      <c r="W14" s="5">
        <f>SUM(Г!D6:INDEX(Г!D6:AH6,1,Сводка!$G$2))</f>
        <v>0</v>
      </c>
      <c r="X14" s="5">
        <f>SUM(Г!D11:INDEX(Г!D11:AH11,1,Сводка!$G$2))</f>
        <v>0</v>
      </c>
      <c r="Y14" s="5">
        <f t="shared" si="1"/>
        <v>0</v>
      </c>
      <c r="Z14" s="191"/>
      <c r="AA14" s="191"/>
      <c r="AB14" s="191"/>
      <c r="AC14" s="191"/>
      <c r="AD14" s="42">
        <f>INDEX(Г!D16:AH16,1,Сводка!$G$2)</f>
        <v>0</v>
      </c>
      <c r="AE14" s="42">
        <f>INDEX(Г!D21:AH21,1,Сводка!$G$2)</f>
        <v>0</v>
      </c>
      <c r="AF14" s="42">
        <f t="shared" si="2"/>
        <v>0</v>
      </c>
      <c r="AG14" s="42">
        <f>SUM(Г!D16:INDEX(Г!D16:AH16,1,Сводка!$G$2))</f>
        <v>0</v>
      </c>
      <c r="AH14" s="42">
        <f>SUM(Г!D21:INDEX(Г!D21:AH21,1,Сводка!$G$2))</f>
        <v>0</v>
      </c>
      <c r="AI14" s="43">
        <f t="shared" si="3"/>
        <v>0</v>
      </c>
      <c r="AM14" s="206"/>
      <c r="AN14" s="16" t="s">
        <v>3</v>
      </c>
      <c r="AO14" s="64">
        <f t="shared" si="12"/>
        <v>0</v>
      </c>
      <c r="AP14" s="64">
        <f t="shared" si="12"/>
        <v>0</v>
      </c>
      <c r="AQ14" s="19">
        <f t="shared" si="9"/>
        <v>0</v>
      </c>
      <c r="AR14" s="209"/>
      <c r="AS14" s="178"/>
      <c r="AT14" s="145">
        <f>INDEX(Г!AN16:BR16,1,Сводка!$G$2)</f>
        <v>0</v>
      </c>
      <c r="AU14" s="77">
        <f t="shared" si="11"/>
        <v>0</v>
      </c>
      <c r="AV14" s="90">
        <f t="shared" si="4"/>
        <v>0</v>
      </c>
      <c r="AW14" s="67">
        <f>SUM(Г!AN21:INDEX(Г!AN21:BR21,1,Сводка!$G$2-1))+AU14</f>
        <v>0</v>
      </c>
      <c r="AX14" s="71"/>
    </row>
    <row r="15" spans="3:50" ht="16.2" thickBot="1" x14ac:dyDescent="0.35">
      <c r="C15" s="207"/>
      <c r="D15" s="17" t="s">
        <v>9</v>
      </c>
      <c r="E15" s="14">
        <f>SUM(E11:E14)</f>
        <v>4700</v>
      </c>
      <c r="F15" s="11">
        <f>SUM(F11:F14)</f>
        <v>4700</v>
      </c>
      <c r="G15" s="17">
        <f t="shared" si="5"/>
        <v>0</v>
      </c>
      <c r="H15" s="210"/>
      <c r="I15" s="213"/>
      <c r="J15" s="68">
        <f>INDEX(Г!D17:AH17,1,Сводка!$G$2)</f>
        <v>3220</v>
      </c>
      <c r="K15" s="22">
        <f>SUM(K11:K14)</f>
        <v>3709.5</v>
      </c>
      <c r="L15" s="62">
        <f t="shared" si="0"/>
        <v>489.5</v>
      </c>
      <c r="M15" s="68">
        <f>SUM(Г!D22:INDEX(Г!D22:AH22,1,Сводка!$G$2-1))+K15</f>
        <v>11122.5</v>
      </c>
      <c r="N15" s="72">
        <v>60.7</v>
      </c>
      <c r="P15" s="184"/>
      <c r="Q15" s="9" t="s">
        <v>9</v>
      </c>
      <c r="R15" s="53">
        <f>'Исходные данные'!D15</f>
        <v>279301.46000000002</v>
      </c>
      <c r="S15" s="52">
        <f>SUM(S11:S14)</f>
        <v>291578.95999999996</v>
      </c>
      <c r="T15" s="137">
        <f>INDEX(Г!D7:AH7,1,Сводка!$G$2)</f>
        <v>4700</v>
      </c>
      <c r="U15" s="137">
        <f>INDEX(Г!D12:AH12,1,Сводка!$G$2)</f>
        <v>4700</v>
      </c>
      <c r="V15" s="137">
        <f t="shared" si="6"/>
        <v>0</v>
      </c>
      <c r="W15" s="137">
        <f>SUM(Г!D7:INDEX(Г!D7:AH7,1,Сводка!$G$2))</f>
        <v>24000</v>
      </c>
      <c r="X15" s="137">
        <f>SUM(Г!D12:INDEX(Г!D12:AH12,1,Сводка!$G$2))</f>
        <v>23400</v>
      </c>
      <c r="Y15" s="137">
        <f t="shared" si="1"/>
        <v>-600</v>
      </c>
      <c r="Z15" s="192"/>
      <c r="AA15" s="192"/>
      <c r="AB15" s="192"/>
      <c r="AC15" s="192"/>
      <c r="AD15" s="135">
        <f>INDEX(Г!D17:AH17,1,Сводка!$G$2)</f>
        <v>3220</v>
      </c>
      <c r="AE15" s="135">
        <f>INDEX(Г!D22:AH22,1,Сводка!$G$2)</f>
        <v>3709.5</v>
      </c>
      <c r="AF15" s="135">
        <f t="shared" si="2"/>
        <v>489.5</v>
      </c>
      <c r="AG15" s="135">
        <f>SUM(Г!D17:INDEX(Г!D17:AH17,1,Сводка!$G$2))</f>
        <v>38640</v>
      </c>
      <c r="AH15" s="135">
        <f>SUM(Г!D22:INDEX(Г!D22:AH22,1,Сводка!$G$2))</f>
        <v>11122.5</v>
      </c>
      <c r="AI15" s="136">
        <f t="shared" si="3"/>
        <v>-27517.5</v>
      </c>
      <c r="AM15" s="207"/>
      <c r="AN15" s="17" t="s">
        <v>9</v>
      </c>
      <c r="AO15" s="14">
        <f>SUM(AO11:AO14)</f>
        <v>-19300</v>
      </c>
      <c r="AP15" s="11">
        <f>SUM(AP11:AP14)</f>
        <v>-18700</v>
      </c>
      <c r="AQ15" s="17">
        <f t="shared" si="9"/>
        <v>600</v>
      </c>
      <c r="AR15" s="231"/>
      <c r="AS15" s="179"/>
      <c r="AT15" s="146">
        <f>INDEX(Г!AN17:BR17,1,Сводка!$G$2)</f>
        <v>0</v>
      </c>
      <c r="AU15" s="23">
        <f>SUM(AU11:AU14)</f>
        <v>-7413</v>
      </c>
      <c r="AV15" s="91">
        <f t="shared" si="4"/>
        <v>-7413</v>
      </c>
      <c r="AW15" s="68">
        <f>SUM(Г!AN22:INDEX(Г!AN22:BR22,1,Сводка!$G$2-1))+AU15</f>
        <v>-7413</v>
      </c>
      <c r="AX15" s="72">
        <v>60.7</v>
      </c>
    </row>
    <row r="16" spans="3:50" ht="15.6" x14ac:dyDescent="0.3">
      <c r="C16" s="205" t="s">
        <v>11</v>
      </c>
      <c r="D16" s="15" t="s">
        <v>0</v>
      </c>
      <c r="E16" s="1">
        <v>2000</v>
      </c>
      <c r="F16" s="2">
        <v>2000</v>
      </c>
      <c r="G16" s="15">
        <f t="shared" si="5"/>
        <v>0</v>
      </c>
      <c r="H16" s="208">
        <v>94</v>
      </c>
      <c r="I16" s="202">
        <v>156</v>
      </c>
      <c r="J16" s="89">
        <f>INDEX(О!D13:AH13,1,Сводка!$G$2)</f>
        <v>1156.6666666666667</v>
      </c>
      <c r="K16" s="76">
        <v>0</v>
      </c>
      <c r="L16" s="58">
        <f t="shared" si="0"/>
        <v>-1156.6666666666667</v>
      </c>
      <c r="M16" s="75">
        <f>SUM(О!D18:INDEX(О!D18:AH18,1,Сводка!$G$2-1))+K16</f>
        <v>18471.099999999999</v>
      </c>
      <c r="N16" s="70"/>
      <c r="P16" s="204" t="s">
        <v>11</v>
      </c>
      <c r="Q16" s="29" t="s">
        <v>0</v>
      </c>
      <c r="R16" s="54">
        <f>'Исходные данные'!D16</f>
        <v>33030.730000000003</v>
      </c>
      <c r="S16" s="140">
        <f>R16+X16-AH16+AC16-AA16</f>
        <v>34388.630000000005</v>
      </c>
      <c r="T16" s="44">
        <f>INDEX(О!D3:AH3,1,Сводка!$G$2)</f>
        <v>2000</v>
      </c>
      <c r="U16" s="44">
        <f>INDEX(О!D8:AH8,1,Сводка!$G$2)</f>
        <v>2000</v>
      </c>
      <c r="V16" s="44">
        <f t="shared" si="6"/>
        <v>0</v>
      </c>
      <c r="W16" s="44">
        <f>SUM(О!D3:INDEX(О!D3:AH3,1,Сводка!$G$2))</f>
        <v>19200</v>
      </c>
      <c r="X16" s="44">
        <f>SUM(О!D8:INDEX(О!D8:AH8,1,Сводка!$G$2))</f>
        <v>19200</v>
      </c>
      <c r="Y16" s="44">
        <f t="shared" si="1"/>
        <v>0</v>
      </c>
      <c r="Z16" s="190">
        <f>INDEX(О!D24:AH24,1,Сводка!$G$2)</f>
        <v>94</v>
      </c>
      <c r="AA16" s="191">
        <f>SUM(О!D24:INDEX(О!D24:AH24,1,Сводка!$G$2))</f>
        <v>970</v>
      </c>
      <c r="AB16" s="191">
        <f>INDEX(О!D25:AH25,1,Сводка!$G$2)</f>
        <v>156</v>
      </c>
      <c r="AC16" s="191">
        <f>SUM(О!D25:INDEX(О!D25:AH25,1,Сводка!$G$2))</f>
        <v>1599</v>
      </c>
      <c r="AD16" s="45">
        <f>INDEX(О!D13:AH13,1,Сводка!$G$2)</f>
        <v>1156.6666666666667</v>
      </c>
      <c r="AE16" s="45">
        <f>INDEX(О!D18:AH18,1,Сводка!$G$2)</f>
        <v>0</v>
      </c>
      <c r="AF16" s="45">
        <f t="shared" si="2"/>
        <v>-1156.6666666666667</v>
      </c>
      <c r="AG16" s="45">
        <f>SUM(О!D13:INDEX(О!D13:AH13,1,Сводка!$G$2))</f>
        <v>13879.999999999998</v>
      </c>
      <c r="AH16" s="45">
        <f>SUM(О!D18:INDEX(О!D18:AH18,1,Сводка!$G$2))</f>
        <v>18471.099999999999</v>
      </c>
      <c r="AI16" s="46">
        <f t="shared" si="3"/>
        <v>4591.1000000000004</v>
      </c>
      <c r="AM16" s="205" t="s">
        <v>11</v>
      </c>
      <c r="AN16" s="15" t="s">
        <v>0</v>
      </c>
      <c r="AO16" s="64">
        <f>E16-W16</f>
        <v>-17200</v>
      </c>
      <c r="AP16" s="64">
        <f>F16-X16</f>
        <v>-17200</v>
      </c>
      <c r="AQ16" s="15">
        <f t="shared" si="9"/>
        <v>0</v>
      </c>
      <c r="AR16" s="209">
        <f>H16-AA16</f>
        <v>-876</v>
      </c>
      <c r="AS16" s="178">
        <f>I16-AC16</f>
        <v>-1443</v>
      </c>
      <c r="AT16" s="89">
        <f>INDEX(О!AN13:BR13,1,Сводка!$G$2)</f>
        <v>0</v>
      </c>
      <c r="AU16" s="76">
        <f t="shared" ref="AU16:AU19" si="13">K16-AH16</f>
        <v>-18471.099999999999</v>
      </c>
      <c r="AV16" s="58">
        <f t="shared" si="4"/>
        <v>-18471.099999999999</v>
      </c>
      <c r="AW16" s="75">
        <f>SUM(О!AN18:INDEX(О!AN18:BR18,1,Сводка!$G$2-1))+AU16</f>
        <v>-18471.099999999999</v>
      </c>
      <c r="AX16" s="70"/>
    </row>
    <row r="17" spans="3:50" ht="15.6" x14ac:dyDescent="0.3">
      <c r="C17" s="206"/>
      <c r="D17" s="16" t="s">
        <v>1</v>
      </c>
      <c r="E17" s="3"/>
      <c r="F17" s="4"/>
      <c r="G17" s="19">
        <f t="shared" si="5"/>
        <v>0</v>
      </c>
      <c r="H17" s="209"/>
      <c r="I17" s="178"/>
      <c r="J17" s="26">
        <f>INDEX(О!D14:AH14,1,Сводка!$G$2)</f>
        <v>0</v>
      </c>
      <c r="K17" s="77"/>
      <c r="L17" s="59">
        <f t="shared" si="0"/>
        <v>0</v>
      </c>
      <c r="M17" s="67">
        <f>SUM(О!D19:INDEX(О!D19:AH19,1,Сводка!$G$2-1))+K17</f>
        <v>0</v>
      </c>
      <c r="N17" s="71"/>
      <c r="P17" s="183"/>
      <c r="Q17" s="8" t="s">
        <v>1</v>
      </c>
      <c r="R17" s="51">
        <f>'Исходные данные'!D17</f>
        <v>9329</v>
      </c>
      <c r="S17" s="141">
        <f>R17+X17-AH17</f>
        <v>9329</v>
      </c>
      <c r="T17" s="5">
        <f>INDEX(О!D4:AH4,1,Сводка!$G$2)</f>
        <v>0</v>
      </c>
      <c r="U17" s="5">
        <f>INDEX(О!D9:AH9,1,Сводка!$G$2)</f>
        <v>0</v>
      </c>
      <c r="V17" s="5">
        <f t="shared" si="6"/>
        <v>0</v>
      </c>
      <c r="W17" s="5">
        <f>SUM(О!D4:INDEX(О!D4:AH4,1,Сводка!$G$2))</f>
        <v>0</v>
      </c>
      <c r="X17" s="5">
        <f>SUM(О!D9:INDEX(О!D9:AH9,1,Сводка!$G$2))</f>
        <v>0</v>
      </c>
      <c r="Y17" s="5">
        <f t="shared" si="1"/>
        <v>0</v>
      </c>
      <c r="Z17" s="191"/>
      <c r="AA17" s="191"/>
      <c r="AB17" s="191"/>
      <c r="AC17" s="191"/>
      <c r="AD17" s="42">
        <f>INDEX(О!D14:AH14,1,Сводка!$G$2)</f>
        <v>0</v>
      </c>
      <c r="AE17" s="42">
        <f>INDEX(О!D19:AH19,1,Сводка!$G$2)</f>
        <v>0</v>
      </c>
      <c r="AF17" s="42">
        <f t="shared" si="2"/>
        <v>0</v>
      </c>
      <c r="AG17" s="42">
        <f>SUM(О!D14:INDEX(О!D14:AH14,1,Сводка!$G$2))</f>
        <v>0</v>
      </c>
      <c r="AH17" s="42">
        <f>SUM(О!D19:INDEX(О!D19:AH19,1,Сводка!$G$2))</f>
        <v>0</v>
      </c>
      <c r="AI17" s="43">
        <f t="shared" si="3"/>
        <v>0</v>
      </c>
      <c r="AM17" s="206"/>
      <c r="AN17" s="16" t="s">
        <v>1</v>
      </c>
      <c r="AO17" s="64">
        <f t="shared" ref="AO17:AP19" si="14">E17-W17</f>
        <v>0</v>
      </c>
      <c r="AP17" s="64">
        <f t="shared" si="14"/>
        <v>0</v>
      </c>
      <c r="AQ17" s="19">
        <f t="shared" si="9"/>
        <v>0</v>
      </c>
      <c r="AR17" s="209"/>
      <c r="AS17" s="178"/>
      <c r="AT17" s="26">
        <f>INDEX(О!AN14:BR14,1,Сводка!$G$2)</f>
        <v>0</v>
      </c>
      <c r="AU17" s="77">
        <f t="shared" si="13"/>
        <v>0</v>
      </c>
      <c r="AV17" s="59">
        <f t="shared" si="4"/>
        <v>0</v>
      </c>
      <c r="AW17" s="67">
        <f>SUM(О!AN19:INDEX(О!AN19:BR19,1,Сводка!$G$2-1))+AU17</f>
        <v>0</v>
      </c>
      <c r="AX17" s="71"/>
    </row>
    <row r="18" spans="3:50" ht="15.6" x14ac:dyDescent="0.3">
      <c r="C18" s="206"/>
      <c r="D18" s="16" t="s">
        <v>2</v>
      </c>
      <c r="E18" s="3"/>
      <c r="F18" s="4"/>
      <c r="G18" s="19">
        <f t="shared" si="5"/>
        <v>0</v>
      </c>
      <c r="H18" s="209"/>
      <c r="I18" s="178"/>
      <c r="J18" s="26">
        <f>INDEX(О!D15:AH15,1,Сводка!$G$2)</f>
        <v>0</v>
      </c>
      <c r="K18" s="77"/>
      <c r="L18" s="59">
        <f t="shared" si="0"/>
        <v>0</v>
      </c>
      <c r="M18" s="67">
        <f>SUM(О!D20:INDEX(О!D20:AH20,1,Сводка!$G$2-1))+K18</f>
        <v>0</v>
      </c>
      <c r="N18" s="71"/>
      <c r="P18" s="183"/>
      <c r="Q18" s="8" t="s">
        <v>2</v>
      </c>
      <c r="R18" s="51">
        <f>'Исходные данные'!D18</f>
        <v>43112.39</v>
      </c>
      <c r="S18" s="141">
        <f>R18+X18-AH18</f>
        <v>43112.39</v>
      </c>
      <c r="T18" s="5">
        <f>INDEX(О!D5:AH5,1,Сводка!$G$2)</f>
        <v>0</v>
      </c>
      <c r="U18" s="5">
        <f>INDEX(О!D10:AH10,1,Сводка!$G$2)</f>
        <v>0</v>
      </c>
      <c r="V18" s="5">
        <f t="shared" si="6"/>
        <v>0</v>
      </c>
      <c r="W18" s="5">
        <f>SUM(О!D5:INDEX(О!D5:AH5,1,Сводка!$G$2))</f>
        <v>0</v>
      </c>
      <c r="X18" s="5">
        <f>SUM(О!D10:INDEX(О!D10:AH10,1,Сводка!$G$2))</f>
        <v>0</v>
      </c>
      <c r="Y18" s="5">
        <f t="shared" si="1"/>
        <v>0</v>
      </c>
      <c r="Z18" s="191"/>
      <c r="AA18" s="191"/>
      <c r="AB18" s="191"/>
      <c r="AC18" s="191"/>
      <c r="AD18" s="42">
        <f>INDEX(О!D15:AH15,1,Сводка!$G$2)</f>
        <v>0</v>
      </c>
      <c r="AE18" s="42">
        <f>INDEX(О!D20:AH20,1,Сводка!$G$2)</f>
        <v>0</v>
      </c>
      <c r="AF18" s="42">
        <f t="shared" si="2"/>
        <v>0</v>
      </c>
      <c r="AG18" s="42">
        <f>SUM(О!D15:INDEX(О!D15:AH15,1,Сводка!$G$2))</f>
        <v>0</v>
      </c>
      <c r="AH18" s="42">
        <f>SUM(О!D20:INDEX(О!D20:AH20,1,Сводка!$G$2))</f>
        <v>0</v>
      </c>
      <c r="AI18" s="43">
        <f t="shared" si="3"/>
        <v>0</v>
      </c>
      <c r="AM18" s="206"/>
      <c r="AN18" s="16" t="s">
        <v>2</v>
      </c>
      <c r="AO18" s="64">
        <f t="shared" si="14"/>
        <v>0</v>
      </c>
      <c r="AP18" s="64">
        <f t="shared" si="14"/>
        <v>0</v>
      </c>
      <c r="AQ18" s="19">
        <f t="shared" si="9"/>
        <v>0</v>
      </c>
      <c r="AR18" s="209"/>
      <c r="AS18" s="178"/>
      <c r="AT18" s="26">
        <f>INDEX(О!AN15:BR15,1,Сводка!$G$2)</f>
        <v>0</v>
      </c>
      <c r="AU18" s="77">
        <f t="shared" si="13"/>
        <v>0</v>
      </c>
      <c r="AV18" s="59">
        <f t="shared" si="4"/>
        <v>0</v>
      </c>
      <c r="AW18" s="67">
        <f>SUM(О!AN20:INDEX(О!AN20:BR20,1,Сводка!$G$2-1))+AU18</f>
        <v>0</v>
      </c>
      <c r="AX18" s="71"/>
    </row>
    <row r="19" spans="3:50" ht="15.6" x14ac:dyDescent="0.3">
      <c r="C19" s="206"/>
      <c r="D19" s="16" t="s">
        <v>14</v>
      </c>
      <c r="E19" s="3"/>
      <c r="F19" s="4"/>
      <c r="G19" s="19">
        <f t="shared" si="5"/>
        <v>0</v>
      </c>
      <c r="H19" s="209"/>
      <c r="I19" s="178"/>
      <c r="J19" s="26">
        <f>INDEX(О!D16:AH16,1,Сводка!$G$2)</f>
        <v>0</v>
      </c>
      <c r="K19" s="77"/>
      <c r="L19" s="59">
        <f t="shared" si="0"/>
        <v>0</v>
      </c>
      <c r="M19" s="67">
        <f>SUM(О!D21:INDEX(О!D21:AH21,1,Сводка!$G$2-1))+K19</f>
        <v>0</v>
      </c>
      <c r="N19" s="71"/>
      <c r="P19" s="183"/>
      <c r="Q19" s="8" t="s">
        <v>14</v>
      </c>
      <c r="R19" s="51">
        <f>'Исходные данные'!D19</f>
        <v>167923</v>
      </c>
      <c r="S19" s="141">
        <f>R19+X19-AH19-AC16</f>
        <v>166324</v>
      </c>
      <c r="T19" s="5">
        <f>INDEX(О!D6:AH6,1,Сводка!$G$2)</f>
        <v>0</v>
      </c>
      <c r="U19" s="5">
        <f>INDEX(О!D11:AH11,1,Сводка!$G$2)</f>
        <v>0</v>
      </c>
      <c r="V19" s="5">
        <f t="shared" si="6"/>
        <v>0</v>
      </c>
      <c r="W19" s="5">
        <f>SUM(О!D6:INDEX(О!D6:AH6,1,Сводка!$G$2))</f>
        <v>0</v>
      </c>
      <c r="X19" s="5">
        <f>SUM(О!D11:INDEX(О!D11:AH11,1,Сводка!$G$2))</f>
        <v>0</v>
      </c>
      <c r="Y19" s="5">
        <f t="shared" si="1"/>
        <v>0</v>
      </c>
      <c r="Z19" s="191"/>
      <c r="AA19" s="191"/>
      <c r="AB19" s="191"/>
      <c r="AC19" s="191"/>
      <c r="AD19" s="42">
        <f>INDEX(О!D16:AH16,1,Сводка!$G$2)</f>
        <v>0</v>
      </c>
      <c r="AE19" s="42">
        <f>INDEX(О!D21:AH21,1,Сводка!$G$2)</f>
        <v>0</v>
      </c>
      <c r="AF19" s="42">
        <f t="shared" si="2"/>
        <v>0</v>
      </c>
      <c r="AG19" s="42">
        <f>SUM(О!D16:INDEX(О!D16:AH16,1,Сводка!$G$2))</f>
        <v>0</v>
      </c>
      <c r="AH19" s="42">
        <f>SUM(О!D21:INDEX(О!D21:AH21,1,Сводка!$G$2))</f>
        <v>0</v>
      </c>
      <c r="AI19" s="43">
        <f t="shared" si="3"/>
        <v>0</v>
      </c>
      <c r="AM19" s="206"/>
      <c r="AN19" s="16" t="s">
        <v>14</v>
      </c>
      <c r="AO19" s="64">
        <f t="shared" si="14"/>
        <v>0</v>
      </c>
      <c r="AP19" s="64">
        <f t="shared" si="14"/>
        <v>0</v>
      </c>
      <c r="AQ19" s="19">
        <f t="shared" si="9"/>
        <v>0</v>
      </c>
      <c r="AR19" s="209"/>
      <c r="AS19" s="178"/>
      <c r="AT19" s="26">
        <f>INDEX(О!AN16:BR16,1,Сводка!$G$2)</f>
        <v>0</v>
      </c>
      <c r="AU19" s="77">
        <f t="shared" si="13"/>
        <v>0</v>
      </c>
      <c r="AV19" s="59">
        <f t="shared" si="4"/>
        <v>0</v>
      </c>
      <c r="AW19" s="67">
        <f>SUM(О!AN21:INDEX(О!AN21:BR21,1,Сводка!$G$2-1))+AU19</f>
        <v>0</v>
      </c>
      <c r="AX19" s="71"/>
    </row>
    <row r="20" spans="3:50" ht="16.2" thickBot="1" x14ac:dyDescent="0.35">
      <c r="C20" s="207"/>
      <c r="D20" s="17" t="s">
        <v>9</v>
      </c>
      <c r="E20" s="14">
        <f>SUM(E16:E19)</f>
        <v>2000</v>
      </c>
      <c r="F20" s="11">
        <f>SUM(F16:F19)</f>
        <v>2000</v>
      </c>
      <c r="G20" s="17">
        <f t="shared" si="5"/>
        <v>0</v>
      </c>
      <c r="H20" s="210"/>
      <c r="I20" s="203"/>
      <c r="J20" s="24">
        <f>INDEX(О!D17:AH17,1,Сводка!$G$2)</f>
        <v>1156.6666666666667</v>
      </c>
      <c r="K20" s="21">
        <f>SUM(K16:K19)</f>
        <v>0</v>
      </c>
      <c r="L20" s="60">
        <f t="shared" si="0"/>
        <v>-1156.6666666666667</v>
      </c>
      <c r="M20" s="74">
        <f>SUM(О!D22:INDEX(О!D22:AH22,1,Сводка!$G$2-1))+K20</f>
        <v>18471.099999999999</v>
      </c>
      <c r="N20" s="72">
        <v>58</v>
      </c>
      <c r="P20" s="184"/>
      <c r="Q20" s="9" t="s">
        <v>9</v>
      </c>
      <c r="R20" s="53">
        <f>'Исходные данные'!D20</f>
        <v>253395.12</v>
      </c>
      <c r="S20" s="52">
        <f>SUM(S16:S19)</f>
        <v>253154.02000000002</v>
      </c>
      <c r="T20" s="137">
        <f>INDEX(О!D7:AH7,1,Сводка!$G$2)</f>
        <v>2000</v>
      </c>
      <c r="U20" s="137">
        <f>INDEX(О!D12:AH12,1,Сводка!$G$2)</f>
        <v>2000</v>
      </c>
      <c r="V20" s="137">
        <f t="shared" si="6"/>
        <v>0</v>
      </c>
      <c r="W20" s="137">
        <f>SUM(О!D7:INDEX(О!D7:AH7,1,Сводка!$G$2))</f>
        <v>19200</v>
      </c>
      <c r="X20" s="137">
        <f>SUM(О!D12:INDEX(О!D12:AH12,1,Сводка!$G$2))</f>
        <v>19200</v>
      </c>
      <c r="Y20" s="137">
        <f t="shared" si="1"/>
        <v>0</v>
      </c>
      <c r="Z20" s="192"/>
      <c r="AA20" s="192"/>
      <c r="AB20" s="192"/>
      <c r="AC20" s="192"/>
      <c r="AD20" s="135">
        <f>INDEX(О!D17:AH17,1,Сводка!$G$2)</f>
        <v>1156.6666666666667</v>
      </c>
      <c r="AE20" s="135">
        <f>INDEX(О!D22:AH22,1,Сводка!$G$2)</f>
        <v>0</v>
      </c>
      <c r="AF20" s="135">
        <f t="shared" si="2"/>
        <v>-1156.6666666666667</v>
      </c>
      <c r="AG20" s="135">
        <f>SUM(О!D17:INDEX(О!D17:AH17,1,Сводка!$G$2))</f>
        <v>13879.999999999998</v>
      </c>
      <c r="AH20" s="135">
        <f>SUM(О!D22:INDEX(О!D22:AH22,1,Сводка!$G$2))</f>
        <v>18471.099999999999</v>
      </c>
      <c r="AI20" s="136">
        <f t="shared" si="3"/>
        <v>4591.1000000000004</v>
      </c>
      <c r="AM20" s="207"/>
      <c r="AN20" s="17" t="s">
        <v>9</v>
      </c>
      <c r="AO20" s="14">
        <f>SUM(AO16:AO19)</f>
        <v>-17200</v>
      </c>
      <c r="AP20" s="11">
        <f>SUM(AP16:AP19)</f>
        <v>-17200</v>
      </c>
      <c r="AQ20" s="17">
        <f t="shared" si="9"/>
        <v>0</v>
      </c>
      <c r="AR20" s="231"/>
      <c r="AS20" s="179"/>
      <c r="AT20" s="24">
        <f>INDEX(О!AN17:BR17,1,Сводка!$G$2)</f>
        <v>0</v>
      </c>
      <c r="AU20" s="21">
        <f>SUM(AU16:AU19)</f>
        <v>-18471.099999999999</v>
      </c>
      <c r="AV20" s="60">
        <f t="shared" si="4"/>
        <v>-18471.099999999999</v>
      </c>
      <c r="AW20" s="74">
        <f>SUM(О!AN22:INDEX(О!AN22:BR22,1,Сводка!$G$2-1))+AU20</f>
        <v>-18471.099999999999</v>
      </c>
      <c r="AX20" s="72">
        <v>58</v>
      </c>
    </row>
    <row r="21" spans="3:50" ht="15.6" x14ac:dyDescent="0.3">
      <c r="C21" s="205" t="s">
        <v>12</v>
      </c>
      <c r="D21" s="15" t="s">
        <v>0</v>
      </c>
      <c r="E21" s="1">
        <v>4300</v>
      </c>
      <c r="F21" s="2">
        <v>4300</v>
      </c>
      <c r="G21" s="15">
        <f t="shared" si="5"/>
        <v>0</v>
      </c>
      <c r="H21" s="208"/>
      <c r="I21" s="202"/>
      <c r="J21" s="87">
        <f>INDEX(Р!D13:AH13,1,Сводка!$G$2)</f>
        <v>4203.333333333333</v>
      </c>
      <c r="K21" s="78">
        <v>3717</v>
      </c>
      <c r="L21" s="61">
        <f t="shared" si="0"/>
        <v>-486.33333333333303</v>
      </c>
      <c r="M21" s="66">
        <f>SUM(Р!D18:INDEX(Р!D18:AH18,1,Сводка!$G$2-1))+K21</f>
        <v>47714.8</v>
      </c>
      <c r="N21" s="70"/>
      <c r="P21" s="182" t="s">
        <v>12</v>
      </c>
      <c r="Q21" s="7" t="s">
        <v>0</v>
      </c>
      <c r="R21" s="50">
        <f>'Исходные данные'!D21</f>
        <v>63665.3</v>
      </c>
      <c r="S21" s="140">
        <f>R21+X21-AH21+AC21-AA21</f>
        <v>63050.5</v>
      </c>
      <c r="T21" s="39">
        <f>INDEX(Р!D3:AH3,1,Сводка!$G$2)</f>
        <v>4300</v>
      </c>
      <c r="U21" s="39">
        <f>INDEX(Р!D8:AH8,1,Сводка!$G$2)</f>
        <v>4300</v>
      </c>
      <c r="V21" s="39">
        <f t="shared" si="6"/>
        <v>0</v>
      </c>
      <c r="W21" s="39">
        <f>SUM(Р!D3:INDEX(Р!D3:AH3,1,Сводка!$G$2))</f>
        <v>47100</v>
      </c>
      <c r="X21" s="39">
        <f>SUM(Р!D8:INDEX(Р!D8:AH8,1,Сводка!$G$2))</f>
        <v>47100</v>
      </c>
      <c r="Y21" s="39">
        <f t="shared" si="1"/>
        <v>0</v>
      </c>
      <c r="Z21" s="190">
        <f>INDEX(Р!D24:AH24,1,Сводка!$G$2)</f>
        <v>0</v>
      </c>
      <c r="AA21" s="190">
        <f>SUM(Р!D24:INDEX(Р!D24:AH24,1,Сводка!$G$2))</f>
        <v>0</v>
      </c>
      <c r="AB21" s="190">
        <f>INDEX(Р!D25:AH25,1,Сводка!$G$2)</f>
        <v>0</v>
      </c>
      <c r="AC21" s="190">
        <f>SUM(Р!D25:INDEX(Р!D25:AH25,1,Сводка!$G$2))</f>
        <v>0</v>
      </c>
      <c r="AD21" s="40">
        <f>INDEX(Р!D13:AH13,1,Сводка!$G$2)</f>
        <v>4203.333333333333</v>
      </c>
      <c r="AE21" s="40">
        <f>INDEX(Р!D18:AH18,1,Сводка!$G$2)</f>
        <v>3717</v>
      </c>
      <c r="AF21" s="40">
        <f t="shared" si="2"/>
        <v>-486.33333333333303</v>
      </c>
      <c r="AG21" s="40">
        <f>SUM(Р!D13:INDEX(Р!D13:AH13,1,Сводка!$G$2))</f>
        <v>50440.000000000007</v>
      </c>
      <c r="AH21" s="40">
        <f>SUM(Р!D18:INDEX(Р!D18:AH18,1,Сводка!$G$2))</f>
        <v>47714.8</v>
      </c>
      <c r="AI21" s="41">
        <f t="shared" si="3"/>
        <v>-2725.2000000000044</v>
      </c>
      <c r="AM21" s="205" t="s">
        <v>12</v>
      </c>
      <c r="AN21" s="15" t="s">
        <v>0</v>
      </c>
      <c r="AO21" s="64">
        <f>E21-W21</f>
        <v>-42800</v>
      </c>
      <c r="AP21" s="64">
        <f>F21-X21</f>
        <v>-42800</v>
      </c>
      <c r="AQ21" s="15">
        <f t="shared" si="9"/>
        <v>0</v>
      </c>
      <c r="AR21" s="209">
        <f>H21-AA21</f>
        <v>0</v>
      </c>
      <c r="AS21" s="178">
        <f>I21-AC21</f>
        <v>0</v>
      </c>
      <c r="AT21" s="87">
        <f>INDEX(Р!AN13:BR13,1,Сводка!$G$2)</f>
        <v>0</v>
      </c>
      <c r="AU21" s="78">
        <f t="shared" ref="AU21:AU24" si="15">K21-AH21</f>
        <v>-43997.8</v>
      </c>
      <c r="AV21" s="88">
        <f t="shared" si="4"/>
        <v>-43997.8</v>
      </c>
      <c r="AW21" s="66">
        <f>SUM(Р!AN18:INDEX(Р!AN18:BR18,1,Сводка!$G$2-1))+AU21</f>
        <v>-43997.8</v>
      </c>
      <c r="AX21" s="70"/>
    </row>
    <row r="22" spans="3:50" ht="15.6" x14ac:dyDescent="0.3">
      <c r="C22" s="206"/>
      <c r="D22" s="16" t="s">
        <v>1</v>
      </c>
      <c r="E22" s="3"/>
      <c r="F22" s="4"/>
      <c r="G22" s="19">
        <f t="shared" si="5"/>
        <v>0</v>
      </c>
      <c r="H22" s="209"/>
      <c r="I22" s="178"/>
      <c r="J22" s="26">
        <f>INDEX(Р!D14:AH14,1,Сводка!$G$2)</f>
        <v>0</v>
      </c>
      <c r="K22" s="77"/>
      <c r="L22" s="59">
        <f t="shared" si="0"/>
        <v>0</v>
      </c>
      <c r="M22" s="67">
        <f>SUM(Р!D19:INDEX(Р!D19:AH19,1,Сводка!$G$2-1))+K22</f>
        <v>0</v>
      </c>
      <c r="N22" s="71"/>
      <c r="P22" s="183"/>
      <c r="Q22" s="8" t="s">
        <v>1</v>
      </c>
      <c r="R22" s="51">
        <f>'Исходные данные'!D22</f>
        <v>172897.5</v>
      </c>
      <c r="S22" s="141">
        <f>R22+X22-AH22-AC21</f>
        <v>172897.5</v>
      </c>
      <c r="T22" s="5">
        <f>INDEX(Р!D4:AH4,1,Сводка!$G$2)</f>
        <v>0</v>
      </c>
      <c r="U22" s="5">
        <f>INDEX(Р!D9:AH9,1,Сводка!$G$2)</f>
        <v>0</v>
      </c>
      <c r="V22" s="5">
        <f t="shared" si="6"/>
        <v>0</v>
      </c>
      <c r="W22" s="5">
        <f>SUM(Р!D4:INDEX(Р!D4:AH4,1,Сводка!$G$2))</f>
        <v>0</v>
      </c>
      <c r="X22" s="5">
        <f>SUM(Р!D9:INDEX(Р!D9:AH9,1,Сводка!$G$2))</f>
        <v>0</v>
      </c>
      <c r="Y22" s="5">
        <f t="shared" si="1"/>
        <v>0</v>
      </c>
      <c r="Z22" s="191"/>
      <c r="AA22" s="191"/>
      <c r="AB22" s="191"/>
      <c r="AC22" s="191"/>
      <c r="AD22" s="42">
        <f>INDEX(Р!D14:AH14,1,Сводка!$G$2)</f>
        <v>0</v>
      </c>
      <c r="AE22" s="42">
        <f>INDEX(Р!D19:AH19,1,Сводка!$G$2)</f>
        <v>0</v>
      </c>
      <c r="AF22" s="42">
        <f t="shared" si="2"/>
        <v>0</v>
      </c>
      <c r="AG22" s="42">
        <f>SUM(Р!D14:INDEX(Р!D14:AH14,1,Сводка!$G$2))</f>
        <v>0</v>
      </c>
      <c r="AH22" s="42">
        <f>SUM(Р!D19:INDEX(Р!D19:AH19,1,Сводка!$G$2))</f>
        <v>0</v>
      </c>
      <c r="AI22" s="43">
        <f t="shared" si="3"/>
        <v>0</v>
      </c>
      <c r="AM22" s="206"/>
      <c r="AN22" s="16" t="s">
        <v>1</v>
      </c>
      <c r="AO22" s="64">
        <f t="shared" ref="AO22:AP24" si="16">E22-W22</f>
        <v>0</v>
      </c>
      <c r="AP22" s="64">
        <f t="shared" si="16"/>
        <v>0</v>
      </c>
      <c r="AQ22" s="19">
        <f t="shared" si="9"/>
        <v>0</v>
      </c>
      <c r="AR22" s="209"/>
      <c r="AS22" s="178"/>
      <c r="AT22" s="151">
        <f>INDEX(Р!AN14:BR14,1,Сводка!$G$2)</f>
        <v>0</v>
      </c>
      <c r="AU22" s="77">
        <f t="shared" si="15"/>
        <v>0</v>
      </c>
      <c r="AV22" s="90">
        <f t="shared" si="4"/>
        <v>0</v>
      </c>
      <c r="AW22" s="67">
        <f>SUM(Р!AN19:INDEX(Р!AN19:BR19,1,Сводка!$G$2-1))+AU22</f>
        <v>0</v>
      </c>
      <c r="AX22" s="71"/>
    </row>
    <row r="23" spans="3:50" ht="15.6" x14ac:dyDescent="0.3">
      <c r="C23" s="206"/>
      <c r="D23" s="16" t="s">
        <v>2</v>
      </c>
      <c r="E23" s="3"/>
      <c r="F23" s="4"/>
      <c r="G23" s="19">
        <f t="shared" si="5"/>
        <v>0</v>
      </c>
      <c r="H23" s="209"/>
      <c r="I23" s="178"/>
      <c r="J23" s="26">
        <f>INDEX(Р!D15:AH15,1,Сводка!$G$2)</f>
        <v>0</v>
      </c>
      <c r="K23" s="77"/>
      <c r="L23" s="59">
        <f t="shared" si="0"/>
        <v>0</v>
      </c>
      <c r="M23" s="67">
        <f>SUM(Р!D20:INDEX(Р!D20:AH20,1,Сводка!$G$2-1))+K23</f>
        <v>0</v>
      </c>
      <c r="N23" s="71"/>
      <c r="P23" s="183"/>
      <c r="Q23" s="8" t="s">
        <v>2</v>
      </c>
      <c r="R23" s="51">
        <f>'Исходные данные'!D23</f>
        <v>65397.61</v>
      </c>
      <c r="S23" s="141">
        <f>R23+X23-AH23</f>
        <v>65397.61</v>
      </c>
      <c r="T23" s="5">
        <f>INDEX(Р!D5:AH5,1,Сводка!$G$2)</f>
        <v>0</v>
      </c>
      <c r="U23" s="5">
        <f>INDEX(Р!D10:AH10,1,Сводка!$G$2)</f>
        <v>0</v>
      </c>
      <c r="V23" s="5">
        <f t="shared" si="6"/>
        <v>0</v>
      </c>
      <c r="W23" s="5">
        <f>SUM(Р!D5:INDEX(Р!D5:AH5,1,Сводка!$G$2))</f>
        <v>0</v>
      </c>
      <c r="X23" s="5">
        <f>SUM(Р!D10:INDEX(Р!D10:AH10,1,Сводка!$G$2))</f>
        <v>0</v>
      </c>
      <c r="Y23" s="5">
        <f t="shared" si="1"/>
        <v>0</v>
      </c>
      <c r="Z23" s="191"/>
      <c r="AA23" s="191"/>
      <c r="AB23" s="191"/>
      <c r="AC23" s="191"/>
      <c r="AD23" s="42">
        <f>INDEX(Р!D15:AH15,1,Сводка!$G$2)</f>
        <v>0</v>
      </c>
      <c r="AE23" s="42">
        <f>INDEX(Р!D20:AH20,1,Сводка!$G$2)</f>
        <v>0</v>
      </c>
      <c r="AF23" s="42">
        <f t="shared" si="2"/>
        <v>0</v>
      </c>
      <c r="AG23" s="42">
        <f>SUM(Р!D15:INDEX(Р!D15:AH15,1,Сводка!$G$2))</f>
        <v>0</v>
      </c>
      <c r="AH23" s="42">
        <f>SUM(Р!D20:INDEX(Р!D20:AH20,1,Сводка!$G$2))</f>
        <v>0</v>
      </c>
      <c r="AI23" s="43">
        <f t="shared" si="3"/>
        <v>0</v>
      </c>
      <c r="AM23" s="206"/>
      <c r="AN23" s="16" t="s">
        <v>2</v>
      </c>
      <c r="AO23" s="64">
        <f t="shared" si="16"/>
        <v>0</v>
      </c>
      <c r="AP23" s="64">
        <f t="shared" si="16"/>
        <v>0</v>
      </c>
      <c r="AQ23" s="19">
        <f t="shared" si="9"/>
        <v>0</v>
      </c>
      <c r="AR23" s="209"/>
      <c r="AS23" s="178"/>
      <c r="AT23" s="151">
        <f>INDEX(Р!AN15:BR15,1,Сводка!$G$2)</f>
        <v>0</v>
      </c>
      <c r="AU23" s="77">
        <f t="shared" si="15"/>
        <v>0</v>
      </c>
      <c r="AV23" s="90">
        <f t="shared" si="4"/>
        <v>0</v>
      </c>
      <c r="AW23" s="67">
        <f>SUM(Р!AN20:INDEX(Р!AN20:BR20,1,Сводка!$G$2-1))+AU23</f>
        <v>0</v>
      </c>
      <c r="AX23" s="71"/>
    </row>
    <row r="24" spans="3:50" ht="15.6" x14ac:dyDescent="0.3">
      <c r="C24" s="206"/>
      <c r="D24" s="16" t="s">
        <v>14</v>
      </c>
      <c r="E24" s="3"/>
      <c r="F24" s="4"/>
      <c r="G24" s="19">
        <f t="shared" si="5"/>
        <v>0</v>
      </c>
      <c r="H24" s="209"/>
      <c r="I24" s="178"/>
      <c r="J24" s="26">
        <f>INDEX(Р!D16:AH16,1,Сводка!$G$2)</f>
        <v>0</v>
      </c>
      <c r="K24" s="77"/>
      <c r="L24" s="59">
        <f t="shared" si="0"/>
        <v>0</v>
      </c>
      <c r="M24" s="67">
        <f>SUM(Р!D21:INDEX(Р!D21:AH21,1,Сводка!$G$2-1))+K24</f>
        <v>0</v>
      </c>
      <c r="N24" s="71"/>
      <c r="P24" s="183"/>
      <c r="Q24" s="8" t="s">
        <v>14</v>
      </c>
      <c r="R24" s="51">
        <f>'Исходные данные'!D24</f>
        <v>185271.27</v>
      </c>
      <c r="S24" s="141">
        <f>R24+X24-AH24-AC21</f>
        <v>185271.27</v>
      </c>
      <c r="T24" s="5">
        <f>INDEX(Р!D6:AH6,1,Сводка!$G$2)</f>
        <v>0</v>
      </c>
      <c r="U24" s="5">
        <f>INDEX(Р!D11:AH11,1,Сводка!$G$2)</f>
        <v>0</v>
      </c>
      <c r="V24" s="5">
        <f t="shared" si="6"/>
        <v>0</v>
      </c>
      <c r="W24" s="5">
        <f>SUM(Р!D6:INDEX(Р!D6:AH6,1,Сводка!$G$2))</f>
        <v>0</v>
      </c>
      <c r="X24" s="5">
        <f>SUM(Р!D11:INDEX(Р!D11:AH11,1,Сводка!$G$2))</f>
        <v>0</v>
      </c>
      <c r="Y24" s="5">
        <f t="shared" si="1"/>
        <v>0</v>
      </c>
      <c r="Z24" s="191"/>
      <c r="AA24" s="191"/>
      <c r="AB24" s="191"/>
      <c r="AC24" s="191"/>
      <c r="AD24" s="42">
        <f>INDEX(Р!D16:AH16,1,Сводка!$G$2)</f>
        <v>0</v>
      </c>
      <c r="AE24" s="42">
        <f>INDEX(Р!D21:AH21,1,Сводка!$G$2)</f>
        <v>0</v>
      </c>
      <c r="AF24" s="42">
        <f t="shared" si="2"/>
        <v>0</v>
      </c>
      <c r="AG24" s="42">
        <f>SUM(Р!D16:INDEX(Р!D16:AH16,1,Сводка!$G$2))</f>
        <v>0</v>
      </c>
      <c r="AH24" s="42">
        <f>SUM(Р!D21:INDEX(Р!D21:AH21,1,Сводка!$G$2))</f>
        <v>0</v>
      </c>
      <c r="AI24" s="43">
        <f t="shared" si="3"/>
        <v>0</v>
      </c>
      <c r="AM24" s="206"/>
      <c r="AN24" s="16" t="s">
        <v>14</v>
      </c>
      <c r="AO24" s="64">
        <f t="shared" si="16"/>
        <v>0</v>
      </c>
      <c r="AP24" s="64">
        <f t="shared" si="16"/>
        <v>0</v>
      </c>
      <c r="AQ24" s="19">
        <f t="shared" si="9"/>
        <v>0</v>
      </c>
      <c r="AR24" s="209"/>
      <c r="AS24" s="178"/>
      <c r="AT24" s="151">
        <f>INDEX(Р!AN16:BR16,1,Сводка!$G$2)</f>
        <v>0</v>
      </c>
      <c r="AU24" s="77">
        <f t="shared" si="15"/>
        <v>0</v>
      </c>
      <c r="AV24" s="90">
        <f t="shared" si="4"/>
        <v>0</v>
      </c>
      <c r="AW24" s="67">
        <f>SUM(Р!AN21:INDEX(Р!AN21:BR21,1,Сводка!$G$2-1))+AU24</f>
        <v>0</v>
      </c>
      <c r="AX24" s="71"/>
    </row>
    <row r="25" spans="3:50" ht="16.2" thickBot="1" x14ac:dyDescent="0.35">
      <c r="C25" s="207"/>
      <c r="D25" s="17" t="s">
        <v>9</v>
      </c>
      <c r="E25" s="14"/>
      <c r="F25" s="11"/>
      <c r="G25" s="17">
        <f t="shared" si="5"/>
        <v>0</v>
      </c>
      <c r="H25" s="210"/>
      <c r="I25" s="203"/>
      <c r="J25" s="22">
        <f>INDEX(Р!D17:AH17,1,Сводка!$G$2)</f>
        <v>4203.333333333333</v>
      </c>
      <c r="K25" s="23">
        <f>SUM(K21:K24)</f>
        <v>3717</v>
      </c>
      <c r="L25" s="62">
        <f t="shared" si="0"/>
        <v>-486.33333333333303</v>
      </c>
      <c r="M25" s="68">
        <f>SUM(Р!D22:INDEX(Р!D22:AH22,1,Сводка!$G$2-1))+K25</f>
        <v>47714.8</v>
      </c>
      <c r="N25" s="72">
        <v>60</v>
      </c>
      <c r="P25" s="216"/>
      <c r="Q25" s="33" t="s">
        <v>9</v>
      </c>
      <c r="R25" s="52">
        <f>'Исходные данные'!D25</f>
        <v>487231.67999999993</v>
      </c>
      <c r="S25" s="52">
        <f>SUM(S21:S24)</f>
        <v>486616.88</v>
      </c>
      <c r="T25" s="138">
        <f>INDEX(Р!D7:AH7,1,Сводка!$G$2)</f>
        <v>4300</v>
      </c>
      <c r="U25" s="138">
        <f>INDEX(Р!D12:AH12,1,Сводка!$G$2)</f>
        <v>4300</v>
      </c>
      <c r="V25" s="138">
        <f t="shared" si="6"/>
        <v>0</v>
      </c>
      <c r="W25" s="138">
        <f>SUM(Р!D7:INDEX(Р!D7:AH7,1,Сводка!$G$2))</f>
        <v>47100</v>
      </c>
      <c r="X25" s="138">
        <f>SUM(Р!D12:INDEX(Р!D12:AH12,1,Сводка!$G$2))</f>
        <v>47100</v>
      </c>
      <c r="Y25" s="138">
        <f t="shared" si="1"/>
        <v>0</v>
      </c>
      <c r="Z25" s="191"/>
      <c r="AA25" s="191"/>
      <c r="AB25" s="191"/>
      <c r="AC25" s="191"/>
      <c r="AD25" s="133">
        <f>INDEX(Р!D17:AH17,1,Сводка!$G$2)</f>
        <v>4203.333333333333</v>
      </c>
      <c r="AE25" s="133">
        <f>INDEX(Р!D22:AH22,1,Сводка!$G$2)</f>
        <v>3717</v>
      </c>
      <c r="AF25" s="133">
        <f t="shared" si="2"/>
        <v>-486.33333333333303</v>
      </c>
      <c r="AG25" s="133">
        <f>SUM(Р!D17:INDEX(Р!D17:AH17,1,Сводка!$G$2))</f>
        <v>50440.000000000007</v>
      </c>
      <c r="AH25" s="133">
        <f>SUM(Р!D22:INDEX(Р!D22:AH22,1,Сводка!$G$2))</f>
        <v>47714.8</v>
      </c>
      <c r="AI25" s="134">
        <f t="shared" si="3"/>
        <v>-2725.2000000000044</v>
      </c>
      <c r="AM25" s="207"/>
      <c r="AN25" s="17" t="s">
        <v>9</v>
      </c>
      <c r="AO25" s="14"/>
      <c r="AP25" s="11"/>
      <c r="AQ25" s="17">
        <f t="shared" si="9"/>
        <v>0</v>
      </c>
      <c r="AR25" s="231"/>
      <c r="AS25" s="179"/>
      <c r="AT25" s="152">
        <f>INDEX(Р!AN17:BR17,1,Сводка!$G$2)</f>
        <v>0</v>
      </c>
      <c r="AU25" s="23">
        <f>SUM(AU21:AU24)</f>
        <v>-43997.8</v>
      </c>
      <c r="AV25" s="91">
        <f t="shared" si="4"/>
        <v>-43997.8</v>
      </c>
      <c r="AW25" s="68">
        <f>SUM(Р!AN22:INDEX(Р!AN22:BR22,1,Сводка!$G$2-1))+AU25</f>
        <v>-43997.8</v>
      </c>
      <c r="AX25" s="72">
        <v>60</v>
      </c>
    </row>
    <row r="26" spans="3:50" ht="15.6" customHeight="1" thickBot="1" x14ac:dyDescent="0.35">
      <c r="C26" s="79"/>
      <c r="D26" s="80"/>
      <c r="E26" s="80"/>
      <c r="F26" s="80"/>
      <c r="G26" s="80"/>
      <c r="H26" s="80"/>
      <c r="I26" s="80"/>
      <c r="J26" s="80" t="s">
        <v>37</v>
      </c>
      <c r="K26" s="81">
        <v>14835.5</v>
      </c>
      <c r="L26" s="80"/>
      <c r="M26" s="82">
        <f>SUM(Э!D4:INDEX(Э!D4:AH4,1,Сводка!$G$2-1))+K26</f>
        <v>92527.9</v>
      </c>
      <c r="N26" s="83"/>
      <c r="P26" s="182" t="s">
        <v>13</v>
      </c>
      <c r="Q26" s="7" t="s">
        <v>0</v>
      </c>
      <c r="R26" s="50">
        <f>'Исходные данные'!D27</f>
        <v>166544.26</v>
      </c>
      <c r="S26" s="50">
        <f>S6+S11+S16+S21</f>
        <v>181007.35999999999</v>
      </c>
      <c r="T26" s="39">
        <f t="shared" ref="T26:U30" si="17">T6+T11+T16+T21</f>
        <v>14200</v>
      </c>
      <c r="U26" s="39">
        <f>U6+U11+U16+U21</f>
        <v>14200</v>
      </c>
      <c r="V26" s="39">
        <f t="shared" si="6"/>
        <v>0</v>
      </c>
      <c r="W26" s="39">
        <f t="shared" ref="W26:X30" si="18">W6+W11+W16+W21</f>
        <v>128700</v>
      </c>
      <c r="X26" s="39">
        <f>X6+X11+X16+X21</f>
        <v>128100</v>
      </c>
      <c r="Y26" s="39">
        <f>X26-W26</f>
        <v>-600</v>
      </c>
      <c r="Z26" s="190">
        <f>Z6+Z11+Z16+Z21</f>
        <v>94</v>
      </c>
      <c r="AA26" s="190">
        <f>AA6+AA11+AA16+AA21</f>
        <v>970</v>
      </c>
      <c r="AB26" s="190">
        <f>AB6+AB11+AB16+AB21</f>
        <v>156</v>
      </c>
      <c r="AC26" s="190">
        <f>AC6+AC11+AC16+AC21</f>
        <v>1599</v>
      </c>
      <c r="AD26" s="39">
        <f>AD6+AD11+AD16+AD21</f>
        <v>11916.666666666666</v>
      </c>
      <c r="AE26" s="40">
        <f t="shared" ref="AE26:AE30" si="19">AE6+AE11+AE16+AE21</f>
        <v>14835.5</v>
      </c>
      <c r="AF26" s="40">
        <f t="shared" si="2"/>
        <v>2918.8333333333339</v>
      </c>
      <c r="AG26" s="40">
        <f t="shared" ref="AG26:AH26" si="20">AG6+AG11+AG16+AG21</f>
        <v>143000</v>
      </c>
      <c r="AH26" s="40">
        <f t="shared" si="20"/>
        <v>114265.90000000001</v>
      </c>
      <c r="AI26" s="41">
        <f t="shared" si="3"/>
        <v>-28734.099999999991</v>
      </c>
      <c r="AM26" s="79"/>
      <c r="AN26" s="80"/>
      <c r="AO26" s="80"/>
      <c r="AP26" s="80"/>
      <c r="AQ26" s="80"/>
      <c r="AR26" s="80"/>
      <c r="AS26" s="80"/>
      <c r="AT26" s="150" t="s">
        <v>37</v>
      </c>
      <c r="AU26" s="153">
        <f>K26-AH38</f>
        <v>-77692.399999999994</v>
      </c>
      <c r="AV26" s="150"/>
      <c r="AW26" s="82">
        <f>SUM(Э!AN4:INDEX(Э!AN4:BR4,1,Сводка!$G$2-1))+AU26</f>
        <v>-77692.399999999994</v>
      </c>
      <c r="AX26" s="83"/>
    </row>
    <row r="27" spans="3:50" ht="16.2" customHeight="1" x14ac:dyDescent="0.3">
      <c r="C27" s="193" t="s">
        <v>13</v>
      </c>
      <c r="D27" s="15" t="s">
        <v>0</v>
      </c>
      <c r="E27" s="18">
        <f t="shared" ref="E27:F30" si="21">E6+E11+E16+E21</f>
        <v>14200</v>
      </c>
      <c r="F27" s="10">
        <f t="shared" si="21"/>
        <v>14200</v>
      </c>
      <c r="G27" s="15">
        <f>F27-E27</f>
        <v>0</v>
      </c>
      <c r="H27" s="196">
        <f>H6+H11+H16+H21</f>
        <v>94</v>
      </c>
      <c r="I27" s="199">
        <f>I6+I11+I16+I21</f>
        <v>156</v>
      </c>
      <c r="J27" s="25">
        <f>J6+J11+J16+J21</f>
        <v>11916.666666666666</v>
      </c>
      <c r="K27" s="84">
        <f>K6+K11+K16+K21</f>
        <v>14835.5</v>
      </c>
      <c r="L27" s="58">
        <f>K27-J27</f>
        <v>2918.8333333333339</v>
      </c>
      <c r="M27" s="75">
        <f t="shared" ref="M27:M31" si="22">M6+M11+M16+M21</f>
        <v>114265.90000000001</v>
      </c>
      <c r="N27" s="66"/>
      <c r="P27" s="183"/>
      <c r="Q27" s="8" t="s">
        <v>1</v>
      </c>
      <c r="R27" s="51">
        <f>'Исходные данные'!D28</f>
        <v>197353.5</v>
      </c>
      <c r="S27" s="51">
        <f>S7+S12+S17+S22</f>
        <v>197353.5</v>
      </c>
      <c r="T27" s="5">
        <f t="shared" si="17"/>
        <v>0</v>
      </c>
      <c r="U27" s="5">
        <f>U7+U12+U17+U22</f>
        <v>0</v>
      </c>
      <c r="V27" s="5">
        <f t="shared" si="6"/>
        <v>0</v>
      </c>
      <c r="W27" s="5">
        <f t="shared" si="18"/>
        <v>0</v>
      </c>
      <c r="X27" s="5">
        <f>X7+X12+X17+X22</f>
        <v>0</v>
      </c>
      <c r="Y27" s="5">
        <f>X27-W27</f>
        <v>0</v>
      </c>
      <c r="Z27" s="191"/>
      <c r="AA27" s="191"/>
      <c r="AB27" s="191"/>
      <c r="AC27" s="191"/>
      <c r="AD27" s="42">
        <f t="shared" ref="AD27:AD30" si="23">AD7+AD12+AD17+AD22</f>
        <v>0</v>
      </c>
      <c r="AE27" s="42">
        <f t="shared" si="19"/>
        <v>0</v>
      </c>
      <c r="AF27" s="42">
        <f t="shared" si="2"/>
        <v>0</v>
      </c>
      <c r="AG27" s="42">
        <f t="shared" ref="AG27:AH27" si="24">AG7+AG12+AG17+AG22</f>
        <v>0</v>
      </c>
      <c r="AH27" s="42">
        <f t="shared" si="24"/>
        <v>0</v>
      </c>
      <c r="AI27" s="43">
        <f t="shared" si="3"/>
        <v>0</v>
      </c>
      <c r="AM27" s="193" t="s">
        <v>13</v>
      </c>
      <c r="AN27" s="15" t="s">
        <v>0</v>
      </c>
      <c r="AO27" s="18">
        <f t="shared" ref="AO27:AP27" si="25">AO6+AO11+AO16+AO21</f>
        <v>-114500</v>
      </c>
      <c r="AP27" s="10">
        <f t="shared" si="25"/>
        <v>-113900</v>
      </c>
      <c r="AQ27" s="15">
        <f>AP27-AO27</f>
        <v>600</v>
      </c>
      <c r="AR27" s="196">
        <f>AR6+AR11+AR16+AR21</f>
        <v>-876</v>
      </c>
      <c r="AS27" s="199">
        <f>AS6+AS11+AS16+AS21</f>
        <v>-1443</v>
      </c>
      <c r="AT27" s="25">
        <f>AT6+AT11+AT16+AT21</f>
        <v>0</v>
      </c>
      <c r="AU27" s="84">
        <f>AU6+AU11+AU16+AU21</f>
        <v>-99430.399999999994</v>
      </c>
      <c r="AV27" s="58">
        <f>AU27-AT27</f>
        <v>-99430.399999999994</v>
      </c>
      <c r="AW27" s="75">
        <f t="shared" ref="AW27:AW31" si="26">AW6+AW11+AW16+AW21</f>
        <v>-99430.399999999994</v>
      </c>
      <c r="AX27" s="66"/>
    </row>
    <row r="28" spans="3:50" ht="15.6" x14ac:dyDescent="0.3">
      <c r="C28" s="194"/>
      <c r="D28" s="16" t="s">
        <v>1</v>
      </c>
      <c r="E28" s="13">
        <f t="shared" si="21"/>
        <v>0</v>
      </c>
      <c r="F28" s="12">
        <f t="shared" si="21"/>
        <v>0</v>
      </c>
      <c r="G28" s="19">
        <f>F28-E28</f>
        <v>0</v>
      </c>
      <c r="H28" s="197"/>
      <c r="I28" s="200"/>
      <c r="J28" s="26">
        <f t="shared" ref="J28:K30" si="27">J7+J12+J17+J22</f>
        <v>0</v>
      </c>
      <c r="K28" s="85">
        <f t="shared" si="27"/>
        <v>0</v>
      </c>
      <c r="L28" s="59">
        <f>K28-J28</f>
        <v>0</v>
      </c>
      <c r="M28" s="67">
        <f t="shared" si="22"/>
        <v>0</v>
      </c>
      <c r="N28" s="67"/>
      <c r="P28" s="183"/>
      <c r="Q28" s="8" t="s">
        <v>2</v>
      </c>
      <c r="R28" s="51">
        <f>'Исходные данные'!D29</f>
        <v>108510</v>
      </c>
      <c r="S28" s="51">
        <f>S8+S13+S18+S23</f>
        <v>108510</v>
      </c>
      <c r="T28" s="5">
        <f t="shared" si="17"/>
        <v>0</v>
      </c>
      <c r="U28" s="5">
        <f t="shared" si="17"/>
        <v>0</v>
      </c>
      <c r="V28" s="5">
        <f t="shared" si="6"/>
        <v>0</v>
      </c>
      <c r="W28" s="5">
        <f t="shared" si="18"/>
        <v>0</v>
      </c>
      <c r="X28" s="5">
        <f t="shared" si="18"/>
        <v>0</v>
      </c>
      <c r="Y28" s="5">
        <f t="shared" si="1"/>
        <v>0</v>
      </c>
      <c r="Z28" s="191"/>
      <c r="AA28" s="191"/>
      <c r="AB28" s="191"/>
      <c r="AC28" s="191"/>
      <c r="AD28" s="42">
        <f t="shared" si="23"/>
        <v>0</v>
      </c>
      <c r="AE28" s="42">
        <f t="shared" si="19"/>
        <v>0</v>
      </c>
      <c r="AF28" s="42">
        <f t="shared" si="2"/>
        <v>0</v>
      </c>
      <c r="AG28" s="42">
        <f t="shared" ref="AG28:AH28" si="28">AG8+AG13+AG18+AG23</f>
        <v>0</v>
      </c>
      <c r="AH28" s="42">
        <f t="shared" si="28"/>
        <v>0</v>
      </c>
      <c r="AI28" s="43">
        <f t="shared" si="3"/>
        <v>0</v>
      </c>
      <c r="AM28" s="194"/>
      <c r="AN28" s="16" t="s">
        <v>1</v>
      </c>
      <c r="AO28" s="13">
        <f t="shared" ref="AO28:AP28" si="29">AO7+AO12+AO17+AO22</f>
        <v>0</v>
      </c>
      <c r="AP28" s="12">
        <f t="shared" si="29"/>
        <v>0</v>
      </c>
      <c r="AQ28" s="19">
        <f>AP28-AO28</f>
        <v>0</v>
      </c>
      <c r="AR28" s="197"/>
      <c r="AS28" s="200"/>
      <c r="AT28" s="26">
        <f t="shared" ref="AT28:AU28" si="30">AT7+AT12+AT17+AT22</f>
        <v>0</v>
      </c>
      <c r="AU28" s="85">
        <f t="shared" si="30"/>
        <v>0</v>
      </c>
      <c r="AV28" s="59">
        <f>AU28-AT28</f>
        <v>0</v>
      </c>
      <c r="AW28" s="67">
        <f t="shared" si="26"/>
        <v>0</v>
      </c>
      <c r="AX28" s="67"/>
    </row>
    <row r="29" spans="3:50" ht="15.6" x14ac:dyDescent="0.3">
      <c r="C29" s="194"/>
      <c r="D29" s="16" t="s">
        <v>2</v>
      </c>
      <c r="E29" s="13">
        <f t="shared" si="21"/>
        <v>0</v>
      </c>
      <c r="F29" s="12">
        <f t="shared" si="21"/>
        <v>0</v>
      </c>
      <c r="G29" s="19">
        <f>F29-E29</f>
        <v>0</v>
      </c>
      <c r="H29" s="197"/>
      <c r="I29" s="200"/>
      <c r="J29" s="26">
        <f t="shared" si="27"/>
        <v>0</v>
      </c>
      <c r="K29" s="85">
        <f t="shared" si="27"/>
        <v>0</v>
      </c>
      <c r="L29" s="59">
        <f>K29-J29</f>
        <v>0</v>
      </c>
      <c r="M29" s="67">
        <f t="shared" si="22"/>
        <v>0</v>
      </c>
      <c r="N29" s="67"/>
      <c r="P29" s="183"/>
      <c r="Q29" s="8" t="s">
        <v>14</v>
      </c>
      <c r="R29" s="51">
        <f>'Исходные данные'!D30</f>
        <v>644955.27</v>
      </c>
      <c r="S29" s="51">
        <f>S9+S14+S19+S24</f>
        <v>643356.27</v>
      </c>
      <c r="T29" s="5">
        <f t="shared" si="17"/>
        <v>0</v>
      </c>
      <c r="U29" s="5">
        <f t="shared" si="17"/>
        <v>0</v>
      </c>
      <c r="V29" s="5">
        <f t="shared" si="6"/>
        <v>0</v>
      </c>
      <c r="W29" s="5">
        <f t="shared" si="18"/>
        <v>0</v>
      </c>
      <c r="X29" s="5">
        <f t="shared" si="18"/>
        <v>0</v>
      </c>
      <c r="Y29" s="5">
        <f t="shared" si="1"/>
        <v>0</v>
      </c>
      <c r="Z29" s="191"/>
      <c r="AA29" s="191"/>
      <c r="AB29" s="191"/>
      <c r="AC29" s="191"/>
      <c r="AD29" s="42">
        <f t="shared" si="23"/>
        <v>0</v>
      </c>
      <c r="AE29" s="42">
        <f t="shared" si="19"/>
        <v>0</v>
      </c>
      <c r="AF29" s="42">
        <f t="shared" si="2"/>
        <v>0</v>
      </c>
      <c r="AG29" s="42">
        <f t="shared" ref="AG29:AH29" si="31">AG9+AG14+AG19+AG24</f>
        <v>0</v>
      </c>
      <c r="AH29" s="42">
        <f t="shared" si="31"/>
        <v>0</v>
      </c>
      <c r="AI29" s="43">
        <f t="shared" si="3"/>
        <v>0</v>
      </c>
      <c r="AM29" s="194"/>
      <c r="AN29" s="16" t="s">
        <v>2</v>
      </c>
      <c r="AO29" s="13">
        <f t="shared" ref="AO29:AP29" si="32">AO8+AO13+AO18+AO23</f>
        <v>0</v>
      </c>
      <c r="AP29" s="12">
        <f t="shared" si="32"/>
        <v>0</v>
      </c>
      <c r="AQ29" s="19">
        <f>AP29-AO29</f>
        <v>0</v>
      </c>
      <c r="AR29" s="197"/>
      <c r="AS29" s="200"/>
      <c r="AT29" s="26">
        <f t="shared" ref="AT29:AU29" si="33">AT8+AT13+AT18+AT23</f>
        <v>0</v>
      </c>
      <c r="AU29" s="85">
        <f t="shared" si="33"/>
        <v>0</v>
      </c>
      <c r="AV29" s="59">
        <f>AU29-AT29</f>
        <v>0</v>
      </c>
      <c r="AW29" s="67">
        <f t="shared" si="26"/>
        <v>0</v>
      </c>
      <c r="AX29" s="67"/>
    </row>
    <row r="30" spans="3:50" ht="16.2" thickBot="1" x14ac:dyDescent="0.35">
      <c r="C30" s="194"/>
      <c r="D30" s="16" t="s">
        <v>14</v>
      </c>
      <c r="E30" s="13">
        <f t="shared" si="21"/>
        <v>0</v>
      </c>
      <c r="F30" s="12">
        <f t="shared" si="21"/>
        <v>0</v>
      </c>
      <c r="G30" s="19">
        <f>F30-E30</f>
        <v>0</v>
      </c>
      <c r="H30" s="197"/>
      <c r="I30" s="200"/>
      <c r="J30" s="26">
        <f t="shared" si="27"/>
        <v>0</v>
      </c>
      <c r="K30" s="85">
        <f t="shared" si="27"/>
        <v>0</v>
      </c>
      <c r="L30" s="59">
        <f>K30-J30</f>
        <v>0</v>
      </c>
      <c r="M30" s="67">
        <f t="shared" si="22"/>
        <v>0</v>
      </c>
      <c r="N30" s="67"/>
      <c r="P30" s="184"/>
      <c r="Q30" s="9" t="s">
        <v>9</v>
      </c>
      <c r="R30" s="53">
        <f>'Исходные данные'!D31</f>
        <v>1117363.03</v>
      </c>
      <c r="S30" s="53">
        <f>S10+S15+S20+S25</f>
        <v>1130227.1299999999</v>
      </c>
      <c r="T30" s="137">
        <f t="shared" si="17"/>
        <v>14200</v>
      </c>
      <c r="U30" s="137">
        <f t="shared" si="17"/>
        <v>14200</v>
      </c>
      <c r="V30" s="139">
        <f t="shared" si="6"/>
        <v>0</v>
      </c>
      <c r="W30" s="137">
        <f t="shared" si="18"/>
        <v>128700</v>
      </c>
      <c r="X30" s="137">
        <f t="shared" si="18"/>
        <v>128100</v>
      </c>
      <c r="Y30" s="139">
        <f t="shared" si="1"/>
        <v>-600</v>
      </c>
      <c r="Z30" s="192"/>
      <c r="AA30" s="192"/>
      <c r="AB30" s="192"/>
      <c r="AC30" s="192"/>
      <c r="AD30" s="135">
        <f t="shared" si="23"/>
        <v>11916.666666666666</v>
      </c>
      <c r="AE30" s="135">
        <f t="shared" si="19"/>
        <v>14835.5</v>
      </c>
      <c r="AF30" s="135">
        <f t="shared" si="2"/>
        <v>2918.8333333333339</v>
      </c>
      <c r="AG30" s="135">
        <f t="shared" ref="AG30:AH30" si="34">AG10+AG15+AG20+AG25</f>
        <v>143000</v>
      </c>
      <c r="AH30" s="135">
        <f t="shared" si="34"/>
        <v>114265.90000000001</v>
      </c>
      <c r="AI30" s="136">
        <f t="shared" si="3"/>
        <v>-28734.099999999991</v>
      </c>
      <c r="AM30" s="194"/>
      <c r="AN30" s="16" t="s">
        <v>14</v>
      </c>
      <c r="AO30" s="13">
        <f t="shared" ref="AO30:AP30" si="35">AO9+AO14+AO19+AO24</f>
        <v>0</v>
      </c>
      <c r="AP30" s="12">
        <f t="shared" si="35"/>
        <v>0</v>
      </c>
      <c r="AQ30" s="19">
        <f>AP30-AO30</f>
        <v>0</v>
      </c>
      <c r="AR30" s="197"/>
      <c r="AS30" s="200"/>
      <c r="AT30" s="26">
        <f t="shared" ref="AT30:AU30" si="36">AT9+AT14+AT19+AT24</f>
        <v>0</v>
      </c>
      <c r="AU30" s="85">
        <f t="shared" si="36"/>
        <v>0</v>
      </c>
      <c r="AV30" s="59">
        <f>AU30-AT30</f>
        <v>0</v>
      </c>
      <c r="AW30" s="67">
        <f t="shared" si="26"/>
        <v>0</v>
      </c>
      <c r="AX30" s="67"/>
    </row>
    <row r="31" spans="3:50" ht="16.2" thickBot="1" x14ac:dyDescent="0.35">
      <c r="C31" s="195"/>
      <c r="D31" s="17" t="s">
        <v>9</v>
      </c>
      <c r="E31" s="14">
        <f>SUM(E27:E30)</f>
        <v>14200</v>
      </c>
      <c r="F31" s="11">
        <f>SUM(F27:F30)</f>
        <v>14200</v>
      </c>
      <c r="G31" s="17">
        <f>F31-E31</f>
        <v>0</v>
      </c>
      <c r="H31" s="198"/>
      <c r="I31" s="201"/>
      <c r="J31" s="22">
        <f>SUM(J27:J30)</f>
        <v>11916.666666666666</v>
      </c>
      <c r="K31" s="23">
        <f>SUM(K27:K30)</f>
        <v>14835.5</v>
      </c>
      <c r="L31" s="62">
        <f>K31-J31</f>
        <v>2918.8333333333339</v>
      </c>
      <c r="M31" s="68">
        <f t="shared" si="22"/>
        <v>114265.90000000001</v>
      </c>
      <c r="N31" s="68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M31" s="195"/>
      <c r="AN31" s="17" t="s">
        <v>9</v>
      </c>
      <c r="AO31" s="14">
        <f>SUM(AO27:AO30)</f>
        <v>-114500</v>
      </c>
      <c r="AP31" s="11">
        <f>SUM(AP27:AP30)</f>
        <v>-113900</v>
      </c>
      <c r="AQ31" s="17">
        <f>AP31-AO31</f>
        <v>600</v>
      </c>
      <c r="AR31" s="198"/>
      <c r="AS31" s="201"/>
      <c r="AT31" s="22">
        <f>SUM(AT27:AT30)</f>
        <v>0</v>
      </c>
      <c r="AU31" s="23">
        <f>SUM(AU27:AU30)</f>
        <v>-99430.399999999994</v>
      </c>
      <c r="AV31" s="62">
        <f>AU31-AT31</f>
        <v>-99430.399999999994</v>
      </c>
      <c r="AW31" s="68">
        <f t="shared" si="26"/>
        <v>-99430.399999999994</v>
      </c>
      <c r="AX31" s="68"/>
    </row>
    <row r="32" spans="3:50" x14ac:dyDescent="0.3">
      <c r="P32" s="55"/>
      <c r="Q32" s="55"/>
      <c r="R32" s="55"/>
      <c r="S32" s="221" t="s">
        <v>57</v>
      </c>
      <c r="T32" s="221"/>
      <c r="U32" s="221"/>
      <c r="V32" s="221"/>
      <c r="W32" s="221"/>
      <c r="X32" s="221"/>
      <c r="Y32" s="221"/>
      <c r="Z32" s="221"/>
      <c r="AA32" s="55"/>
      <c r="AB32" s="55"/>
      <c r="AC32" s="55"/>
      <c r="AD32" s="55"/>
      <c r="AE32" s="221" t="s">
        <v>56</v>
      </c>
      <c r="AF32" s="221"/>
      <c r="AG32" s="221"/>
      <c r="AH32" s="221"/>
      <c r="AI32" s="55"/>
    </row>
    <row r="33" spans="1:35" x14ac:dyDescent="0.3">
      <c r="A33">
        <v>1</v>
      </c>
      <c r="O33" s="69"/>
      <c r="P33" s="55"/>
      <c r="Q33" s="55"/>
      <c r="R33" s="55"/>
      <c r="S33" s="238" t="s">
        <v>54</v>
      </c>
      <c r="T33" s="240" t="s">
        <v>51</v>
      </c>
      <c r="U33" s="240"/>
      <c r="V33" s="240"/>
      <c r="W33" s="241" t="s">
        <v>52</v>
      </c>
      <c r="X33" s="240" t="s">
        <v>53</v>
      </c>
      <c r="Y33" s="240"/>
      <c r="Z33" s="240"/>
      <c r="AA33" s="55"/>
      <c r="AB33" s="55"/>
      <c r="AC33" s="55"/>
      <c r="AD33" s="55"/>
      <c r="AE33" s="55"/>
      <c r="AF33" s="55"/>
      <c r="AG33" s="55"/>
      <c r="AH33" s="55"/>
      <c r="AI33" s="55"/>
    </row>
    <row r="34" spans="1:35" ht="15.6" x14ac:dyDescent="0.3">
      <c r="A34">
        <v>2</v>
      </c>
      <c r="C34" s="236" t="s">
        <v>19</v>
      </c>
      <c r="D34" s="236"/>
      <c r="E34" s="236"/>
      <c r="F34" s="236"/>
      <c r="G34" s="236"/>
      <c r="H34" s="236"/>
      <c r="J34" s="156" t="s">
        <v>93</v>
      </c>
      <c r="P34" s="55"/>
      <c r="Q34" s="55"/>
      <c r="R34" s="55"/>
      <c r="S34" s="239"/>
      <c r="T34" s="86" t="s">
        <v>49</v>
      </c>
      <c r="U34" s="86" t="s">
        <v>50</v>
      </c>
      <c r="V34" s="86" t="str">
        <f>"+/-"</f>
        <v>+/-</v>
      </c>
      <c r="W34" s="241"/>
      <c r="X34" s="86" t="s">
        <v>49</v>
      </c>
      <c r="Y34" s="86" t="s">
        <v>50</v>
      </c>
      <c r="Z34" s="86" t="str">
        <f>"+/-"</f>
        <v>+/-</v>
      </c>
      <c r="AA34" s="55"/>
      <c r="AB34" s="55"/>
      <c r="AC34" s="55"/>
      <c r="AD34" s="55"/>
      <c r="AE34" s="8" t="s">
        <v>38</v>
      </c>
      <c r="AF34" s="5"/>
      <c r="AG34" s="5"/>
      <c r="AH34" s="42">
        <f>INDEX(Э!D3:AH3,1,Сводка!$G$2)</f>
        <v>8416.6666666666661</v>
      </c>
      <c r="AI34" s="55"/>
    </row>
    <row r="35" spans="1:35" ht="16.2" thickBot="1" x14ac:dyDescent="0.35">
      <c r="A35">
        <v>3</v>
      </c>
      <c r="D35" s="236" t="s">
        <v>90</v>
      </c>
      <c r="E35" s="236"/>
      <c r="F35" s="236"/>
      <c r="G35" s="236" t="s">
        <v>91</v>
      </c>
      <c r="H35" s="236"/>
      <c r="J35" s="156" t="s">
        <v>94</v>
      </c>
      <c r="P35" s="96">
        <f>Y10/1000</f>
        <v>0</v>
      </c>
      <c r="Q35" s="96">
        <f>AH10/1000</f>
        <v>36.957500000000003</v>
      </c>
      <c r="R35" s="96">
        <f>AI10/1000</f>
        <v>-3.0825</v>
      </c>
      <c r="S35" s="5" t="s">
        <v>45</v>
      </c>
      <c r="T35" s="51">
        <f>IF(T10=0,0,'Исходные данные'!F10)</f>
        <v>58.5</v>
      </c>
      <c r="U35" s="51">
        <f>INDEX(Т!D23:AH23,1,Сводка!$G$2)</f>
        <v>58.5</v>
      </c>
      <c r="V35" s="51">
        <f>U35-T35</f>
        <v>0</v>
      </c>
      <c r="W35" s="51">
        <f>'Исходные данные'!F10</f>
        <v>58.5</v>
      </c>
      <c r="X35" s="51">
        <f>'Исходные данные'!F10</f>
        <v>58.5</v>
      </c>
      <c r="Y35" s="51">
        <f>SUMPRODUCT(Т!D23:INDEX(Т!D23:AH23,1,Сводка!$G$2),Т!D12:INDEX(Т!D12:AH12,1,Сводка!$G$2))/SUM(Т!D12:INDEX(Т!D12:AH12,1,Сводка!$G$2))</f>
        <v>58.5</v>
      </c>
      <c r="Z35" s="51">
        <f>Y35-X35</f>
        <v>0</v>
      </c>
      <c r="AA35" s="55"/>
      <c r="AB35" s="55"/>
      <c r="AC35" s="55"/>
      <c r="AD35" s="55"/>
      <c r="AE35" s="8" t="s">
        <v>39</v>
      </c>
      <c r="AF35" s="5"/>
      <c r="AG35" s="5"/>
      <c r="AH35" s="42">
        <f>INDEX(Э!D4:AH4,1,Сводка!$G$2)</f>
        <v>14835.5</v>
      </c>
      <c r="AI35" s="55"/>
    </row>
    <row r="36" spans="1:35" ht="15.6" x14ac:dyDescent="0.3">
      <c r="A36">
        <v>4</v>
      </c>
      <c r="C36" t="s">
        <v>63</v>
      </c>
      <c r="D36" s="242">
        <f>S10/1000</f>
        <v>98.87727000000001</v>
      </c>
      <c r="E36" s="243"/>
      <c r="F36" s="243"/>
      <c r="G36" s="242">
        <f>D36</f>
        <v>98.87727000000001</v>
      </c>
      <c r="H36" s="243"/>
      <c r="I36" s="158"/>
      <c r="J36" s="159">
        <f>I6</f>
        <v>0</v>
      </c>
      <c r="M36" s="236" t="s">
        <v>16</v>
      </c>
      <c r="N36" s="236"/>
      <c r="P36" s="96">
        <f>Y15/1000</f>
        <v>-0.6</v>
      </c>
      <c r="Q36" s="96">
        <f>AH15/1000</f>
        <v>11.1225</v>
      </c>
      <c r="R36" s="96">
        <f>AI15/1000</f>
        <v>-27.517499999999998</v>
      </c>
      <c r="S36" s="5" t="s">
        <v>46</v>
      </c>
      <c r="T36" s="51">
        <f>IF(T15=0,0,'Исходные данные'!F15)</f>
        <v>60.7</v>
      </c>
      <c r="U36" s="51">
        <f>INDEX(Г!D23:AH23,1,Сводка!$G$2)</f>
        <v>60.7</v>
      </c>
      <c r="V36" s="51">
        <f>U36-T36</f>
        <v>0</v>
      </c>
      <c r="W36" s="51">
        <f>'Исходные данные'!F15</f>
        <v>60.7</v>
      </c>
      <c r="X36" s="51">
        <f>'Исходные данные'!F15</f>
        <v>60.7</v>
      </c>
      <c r="Y36" s="51">
        <f>SUMPRODUCT(Г!D23:INDEX(Г!D23:AH23,1,Сводка!$G$2),Г!D12:INDEX(Г!D12:AH12,1,Сводка!$G$2))/SUM(Г!D12:INDEX(Г!D12:AH12,1,Сводка!$G$2))</f>
        <v>60.7</v>
      </c>
      <c r="Z36" s="51">
        <f>Y36-X36</f>
        <v>0</v>
      </c>
      <c r="AA36" s="55"/>
      <c r="AB36" s="55"/>
      <c r="AC36" s="55"/>
      <c r="AD36" s="55"/>
      <c r="AE36" s="8" t="s">
        <v>55</v>
      </c>
      <c r="AF36" s="5"/>
      <c r="AG36" s="5"/>
      <c r="AH36" s="42">
        <f>AH35-AH34</f>
        <v>6418.8333333333339</v>
      </c>
      <c r="AI36" s="55"/>
    </row>
    <row r="37" spans="1:35" ht="16.2" thickBot="1" x14ac:dyDescent="0.35">
      <c r="A37">
        <v>5</v>
      </c>
      <c r="C37" t="s">
        <v>64</v>
      </c>
      <c r="D37" s="217">
        <f>S15/1000</f>
        <v>291.57895999999994</v>
      </c>
      <c r="E37" s="218"/>
      <c r="F37" s="218"/>
      <c r="G37" s="217">
        <f>D37</f>
        <v>291.57895999999994</v>
      </c>
      <c r="H37" s="218"/>
      <c r="I37" s="157"/>
      <c r="J37" s="160">
        <f>I11</f>
        <v>0</v>
      </c>
      <c r="M37" t="s">
        <v>90</v>
      </c>
      <c r="N37" t="s">
        <v>92</v>
      </c>
      <c r="P37" s="96">
        <f>Y20/1000</f>
        <v>0</v>
      </c>
      <c r="Q37" s="96">
        <f>AH20/1000</f>
        <v>18.4711</v>
      </c>
      <c r="R37" s="96">
        <f>AI20/1000</f>
        <v>4.5911</v>
      </c>
      <c r="S37" s="5" t="s">
        <v>47</v>
      </c>
      <c r="T37" s="51">
        <f>IF(T20=0,0,'Исходные данные'!F20)</f>
        <v>57</v>
      </c>
      <c r="U37" s="51">
        <f>INDEX(О!D23:AH23,1,Сводка!$G$2)</f>
        <v>58</v>
      </c>
      <c r="V37" s="51">
        <f>U37-T37</f>
        <v>1</v>
      </c>
      <c r="W37" s="51">
        <f>'Исходные данные'!F20</f>
        <v>57</v>
      </c>
      <c r="X37" s="51">
        <f>'Исходные данные'!F20</f>
        <v>57</v>
      </c>
      <c r="Y37" s="51">
        <f>SUMPRODUCT(О!D23:INDEX(О!D23:AH23,1,Сводка!$G$2),О!D12:INDEX(О!D12:AH12,1,Сводка!$G$2))/SUM(О!D12:INDEX(О!D12:AH12,1,Сводка!$G$2))</f>
        <v>58</v>
      </c>
      <c r="Z37" s="51">
        <f>Y37-X37</f>
        <v>1</v>
      </c>
      <c r="AA37" s="55"/>
      <c r="AB37" s="55"/>
      <c r="AC37" s="55"/>
      <c r="AD37" s="55"/>
      <c r="AE37" s="8" t="s">
        <v>40</v>
      </c>
      <c r="AF37" s="5"/>
      <c r="AG37" s="5"/>
      <c r="AH37" s="42">
        <f>SUM(Э!D3:INDEX(Э!D3:AH3,1,Сводка!$G$2))</f>
        <v>101000.00000000001</v>
      </c>
      <c r="AI37" s="55"/>
    </row>
    <row r="38" spans="1:35" ht="15.6" x14ac:dyDescent="0.3">
      <c r="A38">
        <v>6</v>
      </c>
      <c r="C38" t="s">
        <v>65</v>
      </c>
      <c r="D38" s="217">
        <f>S20/1000</f>
        <v>253.15402000000003</v>
      </c>
      <c r="E38" s="218"/>
      <c r="F38" s="218"/>
      <c r="G38" s="217">
        <f>D38</f>
        <v>253.15402000000003</v>
      </c>
      <c r="H38" s="218"/>
      <c r="I38" s="157"/>
      <c r="J38" s="160">
        <f>I16</f>
        <v>156</v>
      </c>
      <c r="L38" t="s">
        <v>58</v>
      </c>
      <c r="M38" s="154">
        <f>K31</f>
        <v>14835.5</v>
      </c>
      <c r="N38">
        <f>M31-($G$2*J31)</f>
        <v>-28734.099999999991</v>
      </c>
      <c r="P38" s="96">
        <f>Y25/1000</f>
        <v>0</v>
      </c>
      <c r="Q38" s="96">
        <f>AH25/1000</f>
        <v>47.714800000000004</v>
      </c>
      <c r="R38" s="96">
        <f>AI25/1000</f>
        <v>-2.7252000000000045</v>
      </c>
      <c r="S38" s="5" t="s">
        <v>48</v>
      </c>
      <c r="T38" s="51">
        <f>IF(T25=0,0,'Исходные данные'!F25)</f>
        <v>60.7</v>
      </c>
      <c r="U38" s="51">
        <f>INDEX(Р!D23:AH23,1,Сводка!$G$2)</f>
        <v>60</v>
      </c>
      <c r="V38" s="51">
        <f>U38-T38</f>
        <v>-0.70000000000000284</v>
      </c>
      <c r="W38" s="51">
        <f>'Исходные данные'!F25</f>
        <v>60.7</v>
      </c>
      <c r="X38" s="51">
        <f>'Исходные данные'!F25</f>
        <v>60.7</v>
      </c>
      <c r="Y38" s="51">
        <f>SUMPRODUCT(Р!D23:INDEX(Р!D23:AH23,1,Сводка!$G$2),Р!D12:INDEX(Р!D12:AH12,1,Сводка!$G$2))/SUM(Р!D12:INDEX(Р!D12:AH12,1,Сводка!$G$2))</f>
        <v>60</v>
      </c>
      <c r="Z38" s="51">
        <f>Y38-X38</f>
        <v>-0.70000000000000284</v>
      </c>
      <c r="AA38" s="55"/>
      <c r="AB38" s="55"/>
      <c r="AC38" s="55"/>
      <c r="AD38" s="55"/>
      <c r="AE38" s="8" t="s">
        <v>41</v>
      </c>
      <c r="AF38" s="5"/>
      <c r="AG38" s="5"/>
      <c r="AH38" s="42">
        <f>SUM(Э!D4:INDEX(Э!D4:AH4,1,Сводка!$G$2))</f>
        <v>92527.9</v>
      </c>
      <c r="AI38" s="55"/>
    </row>
    <row r="39" spans="1:35" ht="16.2" thickBot="1" x14ac:dyDescent="0.35">
      <c r="A39">
        <v>7</v>
      </c>
      <c r="C39" t="s">
        <v>66</v>
      </c>
      <c r="D39" s="219">
        <f>S25/1000</f>
        <v>486.61687999999998</v>
      </c>
      <c r="E39" s="220"/>
      <c r="F39" s="220"/>
      <c r="G39" s="219">
        <f>D39</f>
        <v>486.61687999999998</v>
      </c>
      <c r="H39" s="220"/>
      <c r="I39" s="161"/>
      <c r="J39" s="162">
        <f>I21</f>
        <v>0</v>
      </c>
      <c r="L39" t="s">
        <v>37</v>
      </c>
      <c r="M39" s="155">
        <f>K26</f>
        <v>14835.5</v>
      </c>
      <c r="N39">
        <f>M26-$G$2*INDEX(Э!D3:AH3,1,Сводка!$G$2)</f>
        <v>-8472.1000000000058</v>
      </c>
      <c r="P39" s="96">
        <f>Y30/1000</f>
        <v>-0.6</v>
      </c>
      <c r="Q39" s="96">
        <f>AH30/1000</f>
        <v>114.2659</v>
      </c>
      <c r="R39" s="96">
        <f>AI30/1000</f>
        <v>-28.734099999999991</v>
      </c>
      <c r="S39" s="56" t="s">
        <v>58</v>
      </c>
      <c r="T39" s="51">
        <f>IF((T10+T15+T20+T25)=0,0,(T10*T35+T15*T36+T20*T37+T25*T38)/(T10+T15+T20+T25))</f>
        <v>59.683098591549296</v>
      </c>
      <c r="U39" s="51">
        <f>IF((U10+U15+U20+U25)=0,0,(U10*U35+U15*U36+U20*U37+U25*U38)/(U10+U15+U20+U25))</f>
        <v>59.611971830985915</v>
      </c>
      <c r="V39" s="51">
        <f>U39-T39</f>
        <v>-7.1126760563380742E-2</v>
      </c>
      <c r="W39" s="51">
        <f>'Исходные данные'!F31</f>
        <v>59.61</v>
      </c>
      <c r="X39" s="51">
        <f>(W10*W35+W15*W36+W20*W37+W25*W38)/(W10+W15+W20+W25)</f>
        <v>59.491608391608395</v>
      </c>
      <c r="Y39" s="51">
        <f>(X10*Y35+X15*Y36+X20*Y37+X25*Y38)/(X10+X15+X20+X25)</f>
        <v>59.378454332552693</v>
      </c>
      <c r="Z39" s="51">
        <f>Y39-X39</f>
        <v>-0.11315405905570231</v>
      </c>
      <c r="AA39" s="55"/>
      <c r="AB39" s="55"/>
      <c r="AC39" s="55"/>
      <c r="AD39" s="55"/>
      <c r="AE39" s="8" t="s">
        <v>42</v>
      </c>
      <c r="AF39" s="5"/>
      <c r="AG39" s="5"/>
      <c r="AH39" s="42">
        <f>AH38-AH37</f>
        <v>-8472.1000000000204</v>
      </c>
    </row>
    <row r="40" spans="1:35" x14ac:dyDescent="0.3">
      <c r="A40">
        <v>8</v>
      </c>
      <c r="C40" t="s">
        <v>58</v>
      </c>
      <c r="D40" s="237">
        <f>SUM(D36:D39)</f>
        <v>1130.22713</v>
      </c>
      <c r="E40" s="237"/>
      <c r="F40" s="237"/>
      <c r="G40" s="237">
        <v>1132.6605299999999</v>
      </c>
      <c r="H40" s="237"/>
    </row>
    <row r="41" spans="1:35" x14ac:dyDescent="0.3">
      <c r="A41">
        <v>9</v>
      </c>
    </row>
    <row r="42" spans="1:35" x14ac:dyDescent="0.3">
      <c r="A42">
        <v>10</v>
      </c>
    </row>
    <row r="43" spans="1:35" x14ac:dyDescent="0.3">
      <c r="A43">
        <v>11</v>
      </c>
    </row>
    <row r="44" spans="1:35" x14ac:dyDescent="0.3">
      <c r="A44">
        <v>12</v>
      </c>
    </row>
    <row r="45" spans="1:35" x14ac:dyDescent="0.3">
      <c r="A45">
        <v>13</v>
      </c>
    </row>
    <row r="46" spans="1:35" x14ac:dyDescent="0.3">
      <c r="A46">
        <v>14</v>
      </c>
    </row>
    <row r="47" spans="1:35" x14ac:dyDescent="0.3">
      <c r="A47">
        <v>15</v>
      </c>
    </row>
    <row r="48" spans="1:35" x14ac:dyDescent="0.3">
      <c r="A48">
        <v>16</v>
      </c>
    </row>
    <row r="49" spans="1:1" x14ac:dyDescent="0.3">
      <c r="A49">
        <v>17</v>
      </c>
    </row>
    <row r="50" spans="1:1" x14ac:dyDescent="0.3">
      <c r="A50">
        <v>18</v>
      </c>
    </row>
    <row r="51" spans="1:1" x14ac:dyDescent="0.3">
      <c r="A51">
        <v>19</v>
      </c>
    </row>
    <row r="52" spans="1:1" x14ac:dyDescent="0.3">
      <c r="A52">
        <v>20</v>
      </c>
    </row>
    <row r="53" spans="1:1" x14ac:dyDescent="0.3">
      <c r="A53">
        <v>21</v>
      </c>
    </row>
    <row r="54" spans="1:1" x14ac:dyDescent="0.3">
      <c r="A54">
        <v>22</v>
      </c>
    </row>
    <row r="55" spans="1:1" x14ac:dyDescent="0.3">
      <c r="A55">
        <v>23</v>
      </c>
    </row>
    <row r="56" spans="1:1" x14ac:dyDescent="0.3">
      <c r="A56">
        <v>24</v>
      </c>
    </row>
    <row r="57" spans="1:1" x14ac:dyDescent="0.3">
      <c r="A57">
        <v>25</v>
      </c>
    </row>
    <row r="58" spans="1:1" x14ac:dyDescent="0.3">
      <c r="A58">
        <v>26</v>
      </c>
    </row>
    <row r="59" spans="1:1" x14ac:dyDescent="0.3">
      <c r="A59">
        <v>27</v>
      </c>
    </row>
    <row r="60" spans="1:1" x14ac:dyDescent="0.3">
      <c r="A60">
        <v>28</v>
      </c>
    </row>
    <row r="61" spans="1:1" x14ac:dyDescent="0.3">
      <c r="A61">
        <v>29</v>
      </c>
    </row>
    <row r="62" spans="1:1" x14ac:dyDescent="0.3">
      <c r="A62">
        <v>30</v>
      </c>
    </row>
    <row r="63" spans="1:1" x14ac:dyDescent="0.3">
      <c r="A63">
        <v>31</v>
      </c>
    </row>
  </sheetData>
  <mergeCells count="105">
    <mergeCell ref="D35:F35"/>
    <mergeCell ref="G35:H35"/>
    <mergeCell ref="C34:H34"/>
    <mergeCell ref="G40:H40"/>
    <mergeCell ref="M36:N36"/>
    <mergeCell ref="AM21:AM25"/>
    <mergeCell ref="AR21:AR25"/>
    <mergeCell ref="AS21:AS25"/>
    <mergeCell ref="AM27:AM31"/>
    <mergeCell ref="AR27:AR31"/>
    <mergeCell ref="AS27:AS31"/>
    <mergeCell ref="D40:F40"/>
    <mergeCell ref="AE32:AH32"/>
    <mergeCell ref="S33:S34"/>
    <mergeCell ref="T33:V33"/>
    <mergeCell ref="W33:W34"/>
    <mergeCell ref="X33:Z33"/>
    <mergeCell ref="S32:Z32"/>
    <mergeCell ref="G36:H36"/>
    <mergeCell ref="G37:H37"/>
    <mergeCell ref="G38:H38"/>
    <mergeCell ref="G39:H39"/>
    <mergeCell ref="D36:F36"/>
    <mergeCell ref="D37:F37"/>
    <mergeCell ref="AW4:AW5"/>
    <mergeCell ref="AX4:AX5"/>
    <mergeCell ref="AM6:AM10"/>
    <mergeCell ref="AR6:AR10"/>
    <mergeCell ref="AS6:AS10"/>
    <mergeCell ref="AM4:AM5"/>
    <mergeCell ref="AN4:AN5"/>
    <mergeCell ref="AO4:AQ4"/>
    <mergeCell ref="AR4:AR5"/>
    <mergeCell ref="AS4:AS5"/>
    <mergeCell ref="AA6:AA10"/>
    <mergeCell ref="AB6:AB10"/>
    <mergeCell ref="AM11:AM15"/>
    <mergeCell ref="AR11:AR15"/>
    <mergeCell ref="AS11:AS15"/>
    <mergeCell ref="AM16:AM20"/>
    <mergeCell ref="AR16:AR20"/>
    <mergeCell ref="AS16:AS20"/>
    <mergeCell ref="AT4:AV4"/>
    <mergeCell ref="AB16:AB20"/>
    <mergeCell ref="AC16:AC20"/>
    <mergeCell ref="N4:N5"/>
    <mergeCell ref="P21:P25"/>
    <mergeCell ref="D38:F38"/>
    <mergeCell ref="D39:F39"/>
    <mergeCell ref="P1:AI1"/>
    <mergeCell ref="C11:C15"/>
    <mergeCell ref="H11:H15"/>
    <mergeCell ref="J4:L4"/>
    <mergeCell ref="P6:P10"/>
    <mergeCell ref="P11:P15"/>
    <mergeCell ref="Q3:Q5"/>
    <mergeCell ref="R3:S3"/>
    <mergeCell ref="R4:R5"/>
    <mergeCell ref="S4:S5"/>
    <mergeCell ref="T3:Y3"/>
    <mergeCell ref="T4:V4"/>
    <mergeCell ref="W4:Y4"/>
    <mergeCell ref="C6:C10"/>
    <mergeCell ref="H6:H10"/>
    <mergeCell ref="E4:G4"/>
    <mergeCell ref="AD3:AI3"/>
    <mergeCell ref="AD4:AF4"/>
    <mergeCell ref="AG4:AI4"/>
    <mergeCell ref="Z6:Z10"/>
    <mergeCell ref="Z11:Z15"/>
    <mergeCell ref="AA11:AA15"/>
    <mergeCell ref="P16:P20"/>
    <mergeCell ref="Z16:Z20"/>
    <mergeCell ref="C21:C25"/>
    <mergeCell ref="H21:H25"/>
    <mergeCell ref="AB11:AB15"/>
    <mergeCell ref="I11:I15"/>
    <mergeCell ref="I16:I20"/>
    <mergeCell ref="AB21:AB25"/>
    <mergeCell ref="C16:C20"/>
    <mergeCell ref="H16:H20"/>
    <mergeCell ref="C4:C5"/>
    <mergeCell ref="D4:D5"/>
    <mergeCell ref="H4:H5"/>
    <mergeCell ref="I4:I5"/>
    <mergeCell ref="I6:I10"/>
    <mergeCell ref="M4:M5"/>
    <mergeCell ref="P26:P30"/>
    <mergeCell ref="AB3:AC4"/>
    <mergeCell ref="P3:P5"/>
    <mergeCell ref="AC21:AC25"/>
    <mergeCell ref="Z26:Z30"/>
    <mergeCell ref="AA26:AA30"/>
    <mergeCell ref="AB26:AB30"/>
    <mergeCell ref="AC26:AC30"/>
    <mergeCell ref="Z21:Z25"/>
    <mergeCell ref="AA21:AA25"/>
    <mergeCell ref="AC6:AC10"/>
    <mergeCell ref="Z3:AA4"/>
    <mergeCell ref="C27:C31"/>
    <mergeCell ref="H27:H31"/>
    <mergeCell ref="I27:I31"/>
    <mergeCell ref="I21:I25"/>
    <mergeCell ref="AC11:AC15"/>
    <mergeCell ref="AA16:AA20"/>
  </mergeCells>
  <pageMargins left="0.7" right="0.7" top="0.75" bottom="0.75" header="0.3" footer="0.3"/>
  <pageSetup paperSize="9"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Drop Down 2">
              <controlPr defaultSize="0" autoLine="0" autoPict="0">
                <anchor moveWithCells="1">
                  <from>
                    <xdr:col>6</xdr:col>
                    <xdr:colOff>0</xdr:colOff>
                    <xdr:row>0</xdr:row>
                    <xdr:rowOff>175260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Ввод_данных">
                <anchor moveWithCells="1" sizeWithCells="1">
                  <from>
                    <xdr:col>8</xdr:col>
                    <xdr:colOff>15240</xdr:colOff>
                    <xdr:row>0</xdr:row>
                    <xdr:rowOff>68580</xdr:rowOff>
                  </from>
                  <to>
                    <xdr:col>9</xdr:col>
                    <xdr:colOff>99060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conciliation">
                <anchor moveWithCells="1">
                  <from>
                    <xdr:col>12</xdr:col>
                    <xdr:colOff>53340</xdr:colOff>
                    <xdr:row>1</xdr:row>
                    <xdr:rowOff>22860</xdr:rowOff>
                  </from>
                  <to>
                    <xdr:col>13</xdr:col>
                    <xdr:colOff>617220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input">
                <anchor moveWithCells="1">
                  <from>
                    <xdr:col>10</xdr:col>
                    <xdr:colOff>7620</xdr:colOff>
                    <xdr:row>0</xdr:row>
                    <xdr:rowOff>175260</xdr:rowOff>
                  </from>
                  <to>
                    <xdr:col>10</xdr:col>
                    <xdr:colOff>571500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AH25"/>
  <sheetViews>
    <sheetView workbookViewId="0">
      <selection activeCell="O25" sqref="O25:O29"/>
    </sheetView>
  </sheetViews>
  <sheetFormatPr defaultRowHeight="14.4" x14ac:dyDescent="0.3"/>
  <cols>
    <col min="2" max="2" width="4.44140625" customWidth="1"/>
    <col min="3" max="3" width="8.33203125" customWidth="1"/>
    <col min="4" max="34" width="6.6640625" customWidth="1"/>
  </cols>
  <sheetData>
    <row r="2" spans="2:34" x14ac:dyDescent="0.3">
      <c r="B2" s="6" t="s">
        <v>18</v>
      </c>
      <c r="C2" s="6" t="s">
        <v>17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6">
        <v>6</v>
      </c>
      <c r="J2" s="6">
        <v>7</v>
      </c>
      <c r="K2" s="6">
        <v>8</v>
      </c>
      <c r="L2" s="6">
        <v>9</v>
      </c>
      <c r="M2" s="6">
        <v>10</v>
      </c>
      <c r="N2" s="6">
        <v>11</v>
      </c>
      <c r="O2" s="6">
        <v>12</v>
      </c>
      <c r="P2" s="6">
        <v>13</v>
      </c>
      <c r="Q2" s="6">
        <v>14</v>
      </c>
      <c r="R2" s="6">
        <v>15</v>
      </c>
      <c r="S2" s="6">
        <v>16</v>
      </c>
      <c r="T2" s="6">
        <v>17</v>
      </c>
      <c r="U2" s="6">
        <v>18</v>
      </c>
      <c r="V2" s="6">
        <v>19</v>
      </c>
      <c r="W2" s="6">
        <v>20</v>
      </c>
      <c r="X2" s="6">
        <v>21</v>
      </c>
      <c r="Y2" s="6">
        <v>22</v>
      </c>
      <c r="Z2" s="6">
        <v>23</v>
      </c>
      <c r="AA2" s="6">
        <v>24</v>
      </c>
      <c r="AB2" s="6">
        <v>25</v>
      </c>
      <c r="AC2" s="6">
        <v>26</v>
      </c>
      <c r="AD2" s="6">
        <v>27</v>
      </c>
      <c r="AE2" s="6">
        <v>28</v>
      </c>
      <c r="AF2" s="6">
        <v>29</v>
      </c>
      <c r="AG2" s="6">
        <v>30</v>
      </c>
      <c r="AH2" s="6">
        <v>31</v>
      </c>
    </row>
    <row r="3" spans="2:34" ht="15.6" customHeight="1" x14ac:dyDescent="0.3">
      <c r="B3" s="244" t="s">
        <v>22</v>
      </c>
      <c r="C3" s="5" t="s">
        <v>0</v>
      </c>
      <c r="D3" s="5"/>
      <c r="E3" s="5"/>
      <c r="F3" s="5">
        <v>9600</v>
      </c>
      <c r="G3" s="5">
        <v>3200</v>
      </c>
      <c r="H3" s="5"/>
      <c r="I3" s="5"/>
      <c r="J3" s="5">
        <v>9600</v>
      </c>
      <c r="K3" s="5">
        <v>3200</v>
      </c>
      <c r="L3" s="5"/>
      <c r="M3" s="5"/>
      <c r="N3" s="5">
        <v>9600</v>
      </c>
      <c r="O3" s="5">
        <v>3200</v>
      </c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</row>
    <row r="4" spans="2:34" x14ac:dyDescent="0.3">
      <c r="B4" s="244"/>
      <c r="C4" s="5" t="s">
        <v>1</v>
      </c>
      <c r="D4" s="5"/>
      <c r="E4" s="5"/>
      <c r="F4" s="5"/>
      <c r="G4" s="5"/>
      <c r="H4" s="5"/>
      <c r="I4" s="5"/>
      <c r="J4" s="5">
        <v>0</v>
      </c>
      <c r="K4" s="5"/>
      <c r="L4" s="5"/>
      <c r="M4" s="5"/>
      <c r="N4" s="5">
        <v>0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</row>
    <row r="5" spans="2:34" x14ac:dyDescent="0.3">
      <c r="B5" s="244"/>
      <c r="C5" s="5" t="s">
        <v>2</v>
      </c>
      <c r="D5" s="5"/>
      <c r="E5" s="5"/>
      <c r="F5" s="5"/>
      <c r="G5" s="5"/>
      <c r="H5" s="5"/>
      <c r="I5" s="5"/>
      <c r="J5" s="5">
        <v>0</v>
      </c>
      <c r="K5" s="5"/>
      <c r="L5" s="5"/>
      <c r="M5" s="5"/>
      <c r="N5" s="5">
        <v>0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</row>
    <row r="6" spans="2:34" x14ac:dyDescent="0.3">
      <c r="B6" s="244"/>
      <c r="C6" s="5" t="s">
        <v>3</v>
      </c>
      <c r="D6" s="5"/>
      <c r="E6" s="5"/>
      <c r="F6" s="5"/>
      <c r="G6" s="5"/>
      <c r="H6" s="5"/>
      <c r="I6" s="5"/>
      <c r="J6" s="5">
        <v>0</v>
      </c>
      <c r="K6" s="5"/>
      <c r="L6" s="5"/>
      <c r="M6" s="5"/>
      <c r="N6" s="5">
        <v>0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</row>
    <row r="7" spans="2:34" x14ac:dyDescent="0.3">
      <c r="B7" s="244"/>
      <c r="C7" s="5" t="s">
        <v>9</v>
      </c>
      <c r="D7" s="5">
        <f>SUM(D3:D6)</f>
        <v>0</v>
      </c>
      <c r="E7" s="5">
        <f t="shared" ref="E7:AH7" si="0">SUM(E3:E6)</f>
        <v>0</v>
      </c>
      <c r="F7" s="5">
        <f t="shared" si="0"/>
        <v>9600</v>
      </c>
      <c r="G7" s="5">
        <f t="shared" si="0"/>
        <v>3200</v>
      </c>
      <c r="H7" s="5">
        <f t="shared" si="0"/>
        <v>0</v>
      </c>
      <c r="I7" s="5">
        <f t="shared" si="0"/>
        <v>0</v>
      </c>
      <c r="J7" s="5">
        <f t="shared" si="0"/>
        <v>9600</v>
      </c>
      <c r="K7" s="5">
        <f t="shared" si="0"/>
        <v>3200</v>
      </c>
      <c r="L7" s="5">
        <f t="shared" si="0"/>
        <v>0</v>
      </c>
      <c r="M7" s="5">
        <f t="shared" si="0"/>
        <v>0</v>
      </c>
      <c r="N7" s="5">
        <f t="shared" si="0"/>
        <v>9600</v>
      </c>
      <c r="O7" s="5">
        <f t="shared" si="0"/>
        <v>3200</v>
      </c>
      <c r="P7" s="5">
        <f t="shared" si="0"/>
        <v>0</v>
      </c>
      <c r="Q7" s="5">
        <f t="shared" si="0"/>
        <v>0</v>
      </c>
      <c r="R7" s="5">
        <f t="shared" si="0"/>
        <v>0</v>
      </c>
      <c r="S7" s="5">
        <f t="shared" si="0"/>
        <v>0</v>
      </c>
      <c r="T7" s="5">
        <f t="shared" si="0"/>
        <v>0</v>
      </c>
      <c r="U7" s="5">
        <f t="shared" si="0"/>
        <v>0</v>
      </c>
      <c r="V7" s="5">
        <f t="shared" si="0"/>
        <v>0</v>
      </c>
      <c r="W7" s="5">
        <f t="shared" si="0"/>
        <v>0</v>
      </c>
      <c r="X7" s="5">
        <f t="shared" si="0"/>
        <v>0</v>
      </c>
      <c r="Y7" s="5">
        <f t="shared" si="0"/>
        <v>0</v>
      </c>
      <c r="Z7" s="5">
        <f t="shared" si="0"/>
        <v>0</v>
      </c>
      <c r="AA7" s="5">
        <f t="shared" si="0"/>
        <v>0</v>
      </c>
      <c r="AB7" s="5">
        <f t="shared" si="0"/>
        <v>0</v>
      </c>
      <c r="AC7" s="5">
        <f t="shared" si="0"/>
        <v>0</v>
      </c>
      <c r="AD7" s="5">
        <f t="shared" si="0"/>
        <v>0</v>
      </c>
      <c r="AE7" s="5">
        <f t="shared" si="0"/>
        <v>0</v>
      </c>
      <c r="AF7" s="5">
        <f t="shared" si="0"/>
        <v>0</v>
      </c>
      <c r="AG7" s="5">
        <f t="shared" si="0"/>
        <v>0</v>
      </c>
      <c r="AH7" s="5">
        <f t="shared" si="0"/>
        <v>0</v>
      </c>
    </row>
    <row r="8" spans="2:34" x14ac:dyDescent="0.3">
      <c r="B8" s="244" t="s">
        <v>23</v>
      </c>
      <c r="C8" s="5" t="s">
        <v>0</v>
      </c>
      <c r="D8" s="5"/>
      <c r="E8" s="5"/>
      <c r="F8" s="5">
        <v>9600</v>
      </c>
      <c r="G8" s="5">
        <v>3200</v>
      </c>
      <c r="H8" s="5"/>
      <c r="I8" s="5"/>
      <c r="J8" s="5">
        <v>9600</v>
      </c>
      <c r="K8" s="5">
        <v>3200</v>
      </c>
      <c r="L8" s="5"/>
      <c r="M8" s="5"/>
      <c r="N8" s="5">
        <v>9600</v>
      </c>
      <c r="O8" s="5">
        <v>3200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</row>
    <row r="9" spans="2:34" x14ac:dyDescent="0.3">
      <c r="B9" s="244"/>
      <c r="C9" s="5" t="s">
        <v>1</v>
      </c>
      <c r="D9" s="5"/>
      <c r="E9" s="5"/>
      <c r="F9" s="5"/>
      <c r="G9" s="5"/>
      <c r="H9" s="5"/>
      <c r="I9" s="5"/>
      <c r="J9" s="5">
        <v>0</v>
      </c>
      <c r="K9" s="5"/>
      <c r="L9" s="5"/>
      <c r="M9" s="5"/>
      <c r="N9" s="5">
        <v>0</v>
      </c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</row>
    <row r="10" spans="2:34" x14ac:dyDescent="0.3">
      <c r="B10" s="244"/>
      <c r="C10" s="5" t="s">
        <v>2</v>
      </c>
      <c r="D10" s="5"/>
      <c r="E10" s="5"/>
      <c r="F10" s="5"/>
      <c r="G10" s="5"/>
      <c r="H10" s="5"/>
      <c r="I10" s="5"/>
      <c r="J10" s="5">
        <v>0</v>
      </c>
      <c r="K10" s="5"/>
      <c r="L10" s="5"/>
      <c r="M10" s="5"/>
      <c r="N10" s="5">
        <v>0</v>
      </c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</row>
    <row r="11" spans="2:34" x14ac:dyDescent="0.3">
      <c r="B11" s="244"/>
      <c r="C11" s="5" t="s">
        <v>3</v>
      </c>
      <c r="D11" s="5"/>
      <c r="E11" s="5"/>
      <c r="F11" s="5"/>
      <c r="G11" s="5"/>
      <c r="H11" s="5"/>
      <c r="I11" s="5"/>
      <c r="J11" s="5">
        <v>0</v>
      </c>
      <c r="K11" s="5"/>
      <c r="L11" s="5"/>
      <c r="M11" s="5"/>
      <c r="N11" s="5">
        <v>0</v>
      </c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</row>
    <row r="12" spans="2:34" x14ac:dyDescent="0.3">
      <c r="B12" s="244"/>
      <c r="C12" s="5" t="s">
        <v>9</v>
      </c>
      <c r="D12" s="5">
        <f t="shared" ref="D12:AH12" si="1">SUM(D8:D11)</f>
        <v>0</v>
      </c>
      <c r="E12" s="5">
        <f t="shared" si="1"/>
        <v>0</v>
      </c>
      <c r="F12" s="5">
        <f t="shared" si="1"/>
        <v>9600</v>
      </c>
      <c r="G12" s="5">
        <f t="shared" si="1"/>
        <v>3200</v>
      </c>
      <c r="H12" s="5">
        <f t="shared" si="1"/>
        <v>0</v>
      </c>
      <c r="I12" s="5">
        <f t="shared" si="1"/>
        <v>0</v>
      </c>
      <c r="J12" s="5">
        <f t="shared" si="1"/>
        <v>9600</v>
      </c>
      <c r="K12" s="5">
        <f t="shared" si="1"/>
        <v>3200</v>
      </c>
      <c r="L12" s="5">
        <f t="shared" si="1"/>
        <v>0</v>
      </c>
      <c r="M12" s="5">
        <f t="shared" si="1"/>
        <v>0</v>
      </c>
      <c r="N12" s="5">
        <f t="shared" si="1"/>
        <v>9600</v>
      </c>
      <c r="O12" s="5">
        <f t="shared" si="1"/>
        <v>3200</v>
      </c>
      <c r="P12" s="5">
        <f t="shared" si="1"/>
        <v>0</v>
      </c>
      <c r="Q12" s="5">
        <f t="shared" si="1"/>
        <v>0</v>
      </c>
      <c r="R12" s="5">
        <f t="shared" si="1"/>
        <v>0</v>
      </c>
      <c r="S12" s="5">
        <f t="shared" si="1"/>
        <v>0</v>
      </c>
      <c r="T12" s="5">
        <f t="shared" si="1"/>
        <v>0</v>
      </c>
      <c r="U12" s="5">
        <f t="shared" si="1"/>
        <v>0</v>
      </c>
      <c r="V12" s="5">
        <f t="shared" si="1"/>
        <v>0</v>
      </c>
      <c r="W12" s="5">
        <f t="shared" si="1"/>
        <v>0</v>
      </c>
      <c r="X12" s="5">
        <f t="shared" si="1"/>
        <v>0</v>
      </c>
      <c r="Y12" s="5">
        <f t="shared" si="1"/>
        <v>0</v>
      </c>
      <c r="Z12" s="5">
        <f t="shared" si="1"/>
        <v>0</v>
      </c>
      <c r="AA12" s="5">
        <f t="shared" si="1"/>
        <v>0</v>
      </c>
      <c r="AB12" s="5">
        <f t="shared" si="1"/>
        <v>0</v>
      </c>
      <c r="AC12" s="5">
        <f t="shared" si="1"/>
        <v>0</v>
      </c>
      <c r="AD12" s="5">
        <f t="shared" si="1"/>
        <v>0</v>
      </c>
      <c r="AE12" s="5">
        <f t="shared" si="1"/>
        <v>0</v>
      </c>
      <c r="AF12" s="5">
        <f t="shared" si="1"/>
        <v>0</v>
      </c>
      <c r="AG12" s="5">
        <f t="shared" si="1"/>
        <v>0</v>
      </c>
      <c r="AH12" s="5">
        <f t="shared" si="1"/>
        <v>0</v>
      </c>
    </row>
    <row r="13" spans="2:34" x14ac:dyDescent="0.3">
      <c r="B13" s="244" t="s">
        <v>36</v>
      </c>
      <c r="C13" s="5" t="s">
        <v>0</v>
      </c>
      <c r="D13" s="5">
        <f>'Исходные данные'!$E6/'Исходные данные'!$J$4</f>
        <v>3336.6666666666665</v>
      </c>
      <c r="E13" s="5">
        <f>'Исходные данные'!$E6/'Исходные данные'!$J$4</f>
        <v>3336.6666666666665</v>
      </c>
      <c r="F13" s="5">
        <f>'Исходные данные'!$E6/'Исходные данные'!$J$4</f>
        <v>3336.6666666666665</v>
      </c>
      <c r="G13" s="5">
        <f>'Исходные данные'!$E6/'Исходные данные'!$J$4</f>
        <v>3336.6666666666665</v>
      </c>
      <c r="H13" s="5">
        <f>'Исходные данные'!$E6/'Исходные данные'!$J$4</f>
        <v>3336.6666666666665</v>
      </c>
      <c r="I13" s="5">
        <f>'Исходные данные'!$E6/'Исходные данные'!$J$4</f>
        <v>3336.6666666666665</v>
      </c>
      <c r="J13" s="5">
        <f>'Исходные данные'!$E6/'Исходные данные'!$J$4</f>
        <v>3336.6666666666665</v>
      </c>
      <c r="K13" s="5">
        <f>'Исходные данные'!$E6/'Исходные данные'!$J$4</f>
        <v>3336.6666666666665</v>
      </c>
      <c r="L13" s="5">
        <f>'Исходные данные'!$E6/'Исходные данные'!$J$4</f>
        <v>3336.6666666666665</v>
      </c>
      <c r="M13" s="5">
        <f>'Исходные данные'!$E6/'Исходные данные'!$J$4</f>
        <v>3336.6666666666665</v>
      </c>
      <c r="N13" s="5">
        <f>'Исходные данные'!$E6/'Исходные данные'!$J$4</f>
        <v>3336.6666666666665</v>
      </c>
      <c r="O13" s="5">
        <f>'Исходные данные'!$E6/'Исходные данные'!$J$4</f>
        <v>3336.6666666666665</v>
      </c>
      <c r="P13" s="5">
        <f>'Исходные данные'!$E6/'Исходные данные'!$J$4</f>
        <v>3336.6666666666665</v>
      </c>
      <c r="Q13" s="5">
        <f>'Исходные данные'!$E6/'Исходные данные'!$J$4</f>
        <v>3336.6666666666665</v>
      </c>
      <c r="R13" s="5">
        <f>'Исходные данные'!$E6/'Исходные данные'!$J$4</f>
        <v>3336.6666666666665</v>
      </c>
      <c r="S13" s="5">
        <f>'Исходные данные'!$E6/'Исходные данные'!$J$4</f>
        <v>3336.6666666666665</v>
      </c>
      <c r="T13" s="5">
        <f>'Исходные данные'!$E6/'Исходные данные'!$J$4</f>
        <v>3336.6666666666665</v>
      </c>
      <c r="U13" s="5">
        <f>'Исходные данные'!$E6/'Исходные данные'!$J$4</f>
        <v>3336.6666666666665</v>
      </c>
      <c r="V13" s="5">
        <f>'Исходные данные'!$E6/'Исходные данные'!$J$4</f>
        <v>3336.6666666666665</v>
      </c>
      <c r="W13" s="5">
        <f>'Исходные данные'!$E6/'Исходные данные'!$J$4</f>
        <v>3336.6666666666665</v>
      </c>
      <c r="X13" s="5">
        <f>'Исходные данные'!$E6/'Исходные данные'!$J$4</f>
        <v>3336.6666666666665</v>
      </c>
      <c r="Y13" s="5">
        <f>'Исходные данные'!$E6/'Исходные данные'!$J$4</f>
        <v>3336.6666666666665</v>
      </c>
      <c r="Z13" s="5">
        <f>'Исходные данные'!$E6/'Исходные данные'!$J$4</f>
        <v>3336.6666666666665</v>
      </c>
      <c r="AA13" s="5">
        <f>'Исходные данные'!$E6/'Исходные данные'!$J$4</f>
        <v>3336.6666666666665</v>
      </c>
      <c r="AB13" s="5">
        <f>'Исходные данные'!$E6/'Исходные данные'!$J$4</f>
        <v>3336.6666666666665</v>
      </c>
      <c r="AC13" s="5">
        <f>'Исходные данные'!$E6/'Исходные данные'!$J$4</f>
        <v>3336.6666666666665</v>
      </c>
      <c r="AD13" s="5">
        <f>'Исходные данные'!$E6/'Исходные данные'!$J$4</f>
        <v>3336.6666666666665</v>
      </c>
      <c r="AE13" s="5">
        <f>'Исходные данные'!$E6/'Исходные данные'!$J$4</f>
        <v>3336.6666666666665</v>
      </c>
      <c r="AF13" s="5">
        <f>'Исходные данные'!$E6/'Исходные данные'!$J$4</f>
        <v>3336.6666666666665</v>
      </c>
      <c r="AG13" s="5">
        <f>'Исходные данные'!$E6/'Исходные данные'!$J$4</f>
        <v>3336.6666666666665</v>
      </c>
      <c r="AH13" s="5">
        <f>'Исходные данные'!$E6/'Исходные данные'!$J$4</f>
        <v>3336.6666666666665</v>
      </c>
    </row>
    <row r="14" spans="2:34" x14ac:dyDescent="0.3">
      <c r="B14" s="244"/>
      <c r="C14" s="5" t="s">
        <v>1</v>
      </c>
      <c r="D14" s="5">
        <f>'Исходные данные'!$E7/'Исходные данные'!$J$4</f>
        <v>0</v>
      </c>
      <c r="E14" s="5">
        <f>'Исходные данные'!$E7/'Исходные данные'!$J$4</f>
        <v>0</v>
      </c>
      <c r="F14" s="5">
        <f>'Исходные данные'!$E7/'Исходные данные'!$J$4</f>
        <v>0</v>
      </c>
      <c r="G14" s="5">
        <f>'Исходные данные'!$E7/'Исходные данные'!$J$4</f>
        <v>0</v>
      </c>
      <c r="H14" s="5">
        <f>'Исходные данные'!$E7/'Исходные данные'!$J$4</f>
        <v>0</v>
      </c>
      <c r="I14" s="5">
        <f>'Исходные данные'!$E7/'Исходные данные'!$J$4</f>
        <v>0</v>
      </c>
      <c r="J14" s="5">
        <f>'Исходные данные'!$E7/'Исходные данные'!$J$4</f>
        <v>0</v>
      </c>
      <c r="K14" s="5">
        <f>'Исходные данные'!$E7/'Исходные данные'!$J$4</f>
        <v>0</v>
      </c>
      <c r="L14" s="5">
        <f>'Исходные данные'!$E7/'Исходные данные'!$J$4</f>
        <v>0</v>
      </c>
      <c r="M14" s="5">
        <f>'Исходные данные'!$E7/'Исходные данные'!$J$4</f>
        <v>0</v>
      </c>
      <c r="N14" s="5">
        <f>'Исходные данные'!$E7/'Исходные данные'!$J$4</f>
        <v>0</v>
      </c>
      <c r="O14" s="5">
        <f>'Исходные данные'!$E7/'Исходные данные'!$J$4</f>
        <v>0</v>
      </c>
      <c r="P14" s="5">
        <f>'Исходные данные'!$E7/'Исходные данные'!$J$4</f>
        <v>0</v>
      </c>
      <c r="Q14" s="5">
        <f>'Исходные данные'!$E7/'Исходные данные'!$J$4</f>
        <v>0</v>
      </c>
      <c r="R14" s="5">
        <f>'Исходные данные'!$E7/'Исходные данные'!$J$4</f>
        <v>0</v>
      </c>
      <c r="S14" s="5">
        <f>'Исходные данные'!$E7/'Исходные данные'!$J$4</f>
        <v>0</v>
      </c>
      <c r="T14" s="5">
        <f>'Исходные данные'!$E7/'Исходные данные'!$J$4</f>
        <v>0</v>
      </c>
      <c r="U14" s="5">
        <f>'Исходные данные'!$E7/'Исходные данные'!$J$4</f>
        <v>0</v>
      </c>
      <c r="V14" s="5">
        <f>'Исходные данные'!$E7/'Исходные данные'!$J$4</f>
        <v>0</v>
      </c>
      <c r="W14" s="5">
        <f>'Исходные данные'!$E7/'Исходные данные'!$J$4</f>
        <v>0</v>
      </c>
      <c r="X14" s="5">
        <f>'Исходные данные'!$E7/'Исходные данные'!$J$4</f>
        <v>0</v>
      </c>
      <c r="Y14" s="5">
        <f>'Исходные данные'!$E7/'Исходные данные'!$J$4</f>
        <v>0</v>
      </c>
      <c r="Z14" s="5">
        <f>'Исходные данные'!$E7/'Исходные данные'!$J$4</f>
        <v>0</v>
      </c>
      <c r="AA14" s="5">
        <f>'Исходные данные'!$E7/'Исходные данные'!$J$4</f>
        <v>0</v>
      </c>
      <c r="AB14" s="5">
        <f>'Исходные данные'!$E7/'Исходные данные'!$J$4</f>
        <v>0</v>
      </c>
      <c r="AC14" s="5">
        <f>'Исходные данные'!$E7/'Исходные данные'!$J$4</f>
        <v>0</v>
      </c>
      <c r="AD14" s="5">
        <f>'Исходные данные'!$E7/'Исходные данные'!$J$4</f>
        <v>0</v>
      </c>
      <c r="AE14" s="5">
        <f>'Исходные данные'!$E7/'Исходные данные'!$J$4</f>
        <v>0</v>
      </c>
      <c r="AF14" s="5">
        <f>'Исходные данные'!$E7/'Исходные данные'!$J$4</f>
        <v>0</v>
      </c>
      <c r="AG14" s="5">
        <f>'Исходные данные'!$E7/'Исходные данные'!$J$4</f>
        <v>0</v>
      </c>
      <c r="AH14" s="5">
        <f>'Исходные данные'!$E7/'Исходные данные'!$J$4</f>
        <v>0</v>
      </c>
    </row>
    <row r="15" spans="2:34" x14ac:dyDescent="0.3">
      <c r="B15" s="244"/>
      <c r="C15" s="5" t="s">
        <v>2</v>
      </c>
      <c r="D15" s="5">
        <f>'Исходные данные'!$E8/'Исходные данные'!$J$4</f>
        <v>0</v>
      </c>
      <c r="E15" s="5">
        <f>'Исходные данные'!$E8/'Исходные данные'!$J$4</f>
        <v>0</v>
      </c>
      <c r="F15" s="5">
        <f>'Исходные данные'!$E8/'Исходные данные'!$J$4</f>
        <v>0</v>
      </c>
      <c r="G15" s="5">
        <f>'Исходные данные'!$E8/'Исходные данные'!$J$4</f>
        <v>0</v>
      </c>
      <c r="H15" s="5">
        <f>'Исходные данные'!$E8/'Исходные данные'!$J$4</f>
        <v>0</v>
      </c>
      <c r="I15" s="5">
        <f>'Исходные данные'!$E8/'Исходные данные'!$J$4</f>
        <v>0</v>
      </c>
      <c r="J15" s="5">
        <f>'Исходные данные'!$E8/'Исходные данные'!$J$4</f>
        <v>0</v>
      </c>
      <c r="K15" s="5">
        <f>'Исходные данные'!$E8/'Исходные данные'!$J$4</f>
        <v>0</v>
      </c>
      <c r="L15" s="5">
        <f>'Исходные данные'!$E8/'Исходные данные'!$J$4</f>
        <v>0</v>
      </c>
      <c r="M15" s="5">
        <f>'Исходные данные'!$E8/'Исходные данные'!$J$4</f>
        <v>0</v>
      </c>
      <c r="N15" s="5">
        <f>'Исходные данные'!$E8/'Исходные данные'!$J$4</f>
        <v>0</v>
      </c>
      <c r="O15" s="5">
        <f>'Исходные данные'!$E8/'Исходные данные'!$J$4</f>
        <v>0</v>
      </c>
      <c r="P15" s="5">
        <f>'Исходные данные'!$E8/'Исходные данные'!$J$4</f>
        <v>0</v>
      </c>
      <c r="Q15" s="5">
        <f>'Исходные данные'!$E8/'Исходные данные'!$J$4</f>
        <v>0</v>
      </c>
      <c r="R15" s="5">
        <f>'Исходные данные'!$E8/'Исходные данные'!$J$4</f>
        <v>0</v>
      </c>
      <c r="S15" s="5">
        <f>'Исходные данные'!$E8/'Исходные данные'!$J$4</f>
        <v>0</v>
      </c>
      <c r="T15" s="5">
        <f>'Исходные данные'!$E8/'Исходные данные'!$J$4</f>
        <v>0</v>
      </c>
      <c r="U15" s="5">
        <f>'Исходные данные'!$E8/'Исходные данные'!$J$4</f>
        <v>0</v>
      </c>
      <c r="V15" s="5">
        <f>'Исходные данные'!$E8/'Исходные данные'!$J$4</f>
        <v>0</v>
      </c>
      <c r="W15" s="5">
        <f>'Исходные данные'!$E8/'Исходные данные'!$J$4</f>
        <v>0</v>
      </c>
      <c r="X15" s="5">
        <f>'Исходные данные'!$E8/'Исходные данные'!$J$4</f>
        <v>0</v>
      </c>
      <c r="Y15" s="5">
        <f>'Исходные данные'!$E8/'Исходные данные'!$J$4</f>
        <v>0</v>
      </c>
      <c r="Z15" s="5">
        <f>'Исходные данные'!$E8/'Исходные данные'!$J$4</f>
        <v>0</v>
      </c>
      <c r="AA15" s="5">
        <f>'Исходные данные'!$E8/'Исходные данные'!$J$4</f>
        <v>0</v>
      </c>
      <c r="AB15" s="5">
        <f>'Исходные данные'!$E8/'Исходные данные'!$J$4</f>
        <v>0</v>
      </c>
      <c r="AC15" s="5">
        <f>'Исходные данные'!$E8/'Исходные данные'!$J$4</f>
        <v>0</v>
      </c>
      <c r="AD15" s="5">
        <f>'Исходные данные'!$E8/'Исходные данные'!$J$4</f>
        <v>0</v>
      </c>
      <c r="AE15" s="5">
        <f>'Исходные данные'!$E8/'Исходные данные'!$J$4</f>
        <v>0</v>
      </c>
      <c r="AF15" s="5">
        <f>'Исходные данные'!$E8/'Исходные данные'!$J$4</f>
        <v>0</v>
      </c>
      <c r="AG15" s="5">
        <f>'Исходные данные'!$E8/'Исходные данные'!$J$4</f>
        <v>0</v>
      </c>
      <c r="AH15" s="5">
        <f>'Исходные данные'!$E8/'Исходные данные'!$J$4</f>
        <v>0</v>
      </c>
    </row>
    <row r="16" spans="2:34" x14ac:dyDescent="0.3">
      <c r="B16" s="244"/>
      <c r="C16" s="5" t="s">
        <v>3</v>
      </c>
      <c r="D16" s="5">
        <f>'Исходные данные'!$E9/'Исходные данные'!$J$4</f>
        <v>0</v>
      </c>
      <c r="E16" s="5">
        <f>'Исходные данные'!$E9/'Исходные данные'!$J$4</f>
        <v>0</v>
      </c>
      <c r="F16" s="5">
        <f>'Исходные данные'!$E9/'Исходные данные'!$J$4</f>
        <v>0</v>
      </c>
      <c r="G16" s="5">
        <f>'Исходные данные'!$E9/'Исходные данные'!$J$4</f>
        <v>0</v>
      </c>
      <c r="H16" s="5">
        <f>'Исходные данные'!$E9/'Исходные данные'!$J$4</f>
        <v>0</v>
      </c>
      <c r="I16" s="5">
        <f>'Исходные данные'!$E9/'Исходные данные'!$J$4</f>
        <v>0</v>
      </c>
      <c r="J16" s="5">
        <f>'Исходные данные'!$E9/'Исходные данные'!$J$4</f>
        <v>0</v>
      </c>
      <c r="K16" s="5">
        <f>'Исходные данные'!$E9/'Исходные данные'!$J$4</f>
        <v>0</v>
      </c>
      <c r="L16" s="5">
        <f>'Исходные данные'!$E9/'Исходные данные'!$J$4</f>
        <v>0</v>
      </c>
      <c r="M16" s="5">
        <f>'Исходные данные'!$E9/'Исходные данные'!$J$4</f>
        <v>0</v>
      </c>
      <c r="N16" s="5">
        <f>'Исходные данные'!$E9/'Исходные данные'!$J$4</f>
        <v>0</v>
      </c>
      <c r="O16" s="5">
        <f>'Исходные данные'!$E9/'Исходные данные'!$J$4</f>
        <v>0</v>
      </c>
      <c r="P16" s="5">
        <f>'Исходные данные'!$E9/'Исходные данные'!$J$4</f>
        <v>0</v>
      </c>
      <c r="Q16" s="5">
        <f>'Исходные данные'!$E9/'Исходные данные'!$J$4</f>
        <v>0</v>
      </c>
      <c r="R16" s="5">
        <f>'Исходные данные'!$E9/'Исходные данные'!$J$4</f>
        <v>0</v>
      </c>
      <c r="S16" s="5">
        <f>'Исходные данные'!$E9/'Исходные данные'!$J$4</f>
        <v>0</v>
      </c>
      <c r="T16" s="5">
        <f>'Исходные данные'!$E9/'Исходные данные'!$J$4</f>
        <v>0</v>
      </c>
      <c r="U16" s="5">
        <f>'Исходные данные'!$E9/'Исходные данные'!$J$4</f>
        <v>0</v>
      </c>
      <c r="V16" s="5">
        <f>'Исходные данные'!$E9/'Исходные данные'!$J$4</f>
        <v>0</v>
      </c>
      <c r="W16" s="5">
        <f>'Исходные данные'!$E9/'Исходные данные'!$J$4</f>
        <v>0</v>
      </c>
      <c r="X16" s="5">
        <f>'Исходные данные'!$E9/'Исходные данные'!$J$4</f>
        <v>0</v>
      </c>
      <c r="Y16" s="5">
        <f>'Исходные данные'!$E9/'Исходные данные'!$J$4</f>
        <v>0</v>
      </c>
      <c r="Z16" s="5">
        <f>'Исходные данные'!$E9/'Исходные данные'!$J$4</f>
        <v>0</v>
      </c>
      <c r="AA16" s="5">
        <f>'Исходные данные'!$E9/'Исходные данные'!$J$4</f>
        <v>0</v>
      </c>
      <c r="AB16" s="5">
        <f>'Исходные данные'!$E9/'Исходные данные'!$J$4</f>
        <v>0</v>
      </c>
      <c r="AC16" s="5">
        <f>'Исходные данные'!$E9/'Исходные данные'!$J$4</f>
        <v>0</v>
      </c>
      <c r="AD16" s="5">
        <f>'Исходные данные'!$E9/'Исходные данные'!$J$4</f>
        <v>0</v>
      </c>
      <c r="AE16" s="5">
        <f>'Исходные данные'!$E9/'Исходные данные'!$J$4</f>
        <v>0</v>
      </c>
      <c r="AF16" s="5">
        <f>'Исходные данные'!$E9/'Исходные данные'!$J$4</f>
        <v>0</v>
      </c>
      <c r="AG16" s="5">
        <f>'Исходные данные'!$E9/'Исходные данные'!$J$4</f>
        <v>0</v>
      </c>
      <c r="AH16" s="5">
        <f>'Исходные данные'!$E9/'Исходные данные'!$J$4</f>
        <v>0</v>
      </c>
    </row>
    <row r="17" spans="2:34" x14ac:dyDescent="0.3">
      <c r="B17" s="244"/>
      <c r="C17" s="5" t="s">
        <v>9</v>
      </c>
      <c r="D17" s="5">
        <f>'Исходные данные'!$E10/'Исходные данные'!$J$4</f>
        <v>3336.6666666666665</v>
      </c>
      <c r="E17" s="5">
        <f>'Исходные данные'!$E10/'Исходные данные'!$J$4</f>
        <v>3336.6666666666665</v>
      </c>
      <c r="F17" s="5">
        <f>'Исходные данные'!$E10/'Исходные данные'!$J$4</f>
        <v>3336.6666666666665</v>
      </c>
      <c r="G17" s="5">
        <f>'Исходные данные'!$E10/'Исходные данные'!$J$4</f>
        <v>3336.6666666666665</v>
      </c>
      <c r="H17" s="5">
        <f>'Исходные данные'!$E10/'Исходные данные'!$J$4</f>
        <v>3336.6666666666665</v>
      </c>
      <c r="I17" s="5">
        <f>'Исходные данные'!$E10/'Исходные данные'!$J$4</f>
        <v>3336.6666666666665</v>
      </c>
      <c r="J17" s="5">
        <f>'Исходные данные'!$E10/'Исходные данные'!$J$4</f>
        <v>3336.6666666666665</v>
      </c>
      <c r="K17" s="5">
        <f>'Исходные данные'!$E10/'Исходные данные'!$J$4</f>
        <v>3336.6666666666665</v>
      </c>
      <c r="L17" s="5">
        <f>'Исходные данные'!$E10/'Исходные данные'!$J$4</f>
        <v>3336.6666666666665</v>
      </c>
      <c r="M17" s="5">
        <f>'Исходные данные'!$E10/'Исходные данные'!$J$4</f>
        <v>3336.6666666666665</v>
      </c>
      <c r="N17" s="5">
        <f>'Исходные данные'!$E10/'Исходные данные'!$J$4</f>
        <v>3336.6666666666665</v>
      </c>
      <c r="O17" s="5">
        <f>'Исходные данные'!$E10/'Исходные данные'!$J$4</f>
        <v>3336.6666666666665</v>
      </c>
      <c r="P17" s="5">
        <f>'Исходные данные'!$E10/'Исходные данные'!$J$4</f>
        <v>3336.6666666666665</v>
      </c>
      <c r="Q17" s="5">
        <f>'Исходные данные'!$E10/'Исходные данные'!$J$4</f>
        <v>3336.6666666666665</v>
      </c>
      <c r="R17" s="5">
        <f>'Исходные данные'!$E10/'Исходные данные'!$J$4</f>
        <v>3336.6666666666665</v>
      </c>
      <c r="S17" s="5">
        <f>'Исходные данные'!$E10/'Исходные данные'!$J$4</f>
        <v>3336.6666666666665</v>
      </c>
      <c r="T17" s="5">
        <f>'Исходные данные'!$E10/'Исходные данные'!$J$4</f>
        <v>3336.6666666666665</v>
      </c>
      <c r="U17" s="5">
        <f>'Исходные данные'!$E10/'Исходные данные'!$J$4</f>
        <v>3336.6666666666665</v>
      </c>
      <c r="V17" s="5">
        <f>'Исходные данные'!$E10/'Исходные данные'!$J$4</f>
        <v>3336.6666666666665</v>
      </c>
      <c r="W17" s="5">
        <f>'Исходные данные'!$E10/'Исходные данные'!$J$4</f>
        <v>3336.6666666666665</v>
      </c>
      <c r="X17" s="5">
        <f>'Исходные данные'!$E10/'Исходные данные'!$J$4</f>
        <v>3336.6666666666665</v>
      </c>
      <c r="Y17" s="5">
        <f>'Исходные данные'!$E10/'Исходные данные'!$J$4</f>
        <v>3336.6666666666665</v>
      </c>
      <c r="Z17" s="5">
        <f>'Исходные данные'!$E10/'Исходные данные'!$J$4</f>
        <v>3336.6666666666665</v>
      </c>
      <c r="AA17" s="5">
        <f>'Исходные данные'!$E10/'Исходные данные'!$J$4</f>
        <v>3336.6666666666665</v>
      </c>
      <c r="AB17" s="5">
        <f>'Исходные данные'!$E10/'Исходные данные'!$J$4</f>
        <v>3336.6666666666665</v>
      </c>
      <c r="AC17" s="5">
        <f>'Исходные данные'!$E10/'Исходные данные'!$J$4</f>
        <v>3336.6666666666665</v>
      </c>
      <c r="AD17" s="5">
        <f>'Исходные данные'!$E10/'Исходные данные'!$J$4</f>
        <v>3336.6666666666665</v>
      </c>
      <c r="AE17" s="5">
        <f>'Исходные данные'!$E10/'Исходные данные'!$J$4</f>
        <v>3336.6666666666665</v>
      </c>
      <c r="AF17" s="5">
        <f>'Исходные данные'!$E10/'Исходные данные'!$J$4</f>
        <v>3336.6666666666665</v>
      </c>
      <c r="AG17" s="5">
        <f>'Исходные данные'!$E10/'Исходные данные'!$J$4</f>
        <v>3336.6666666666665</v>
      </c>
      <c r="AH17" s="5">
        <f>'Исходные данные'!$E10/'Исходные данные'!$J$4</f>
        <v>3336.6666666666665</v>
      </c>
    </row>
    <row r="18" spans="2:34" x14ac:dyDescent="0.3">
      <c r="B18" s="244" t="s">
        <v>35</v>
      </c>
      <c r="C18" s="5" t="s">
        <v>0</v>
      </c>
      <c r="D18" s="5"/>
      <c r="E18" s="5"/>
      <c r="F18" s="5">
        <v>7338</v>
      </c>
      <c r="G18" s="5">
        <v>0</v>
      </c>
      <c r="H18" s="5"/>
      <c r="I18" s="5"/>
      <c r="J18" s="5">
        <v>14799</v>
      </c>
      <c r="K18" s="5">
        <v>0</v>
      </c>
      <c r="L18" s="5"/>
      <c r="M18" s="5"/>
      <c r="N18" s="5">
        <v>7411.5</v>
      </c>
      <c r="O18" s="5">
        <v>7409</v>
      </c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</row>
    <row r="19" spans="2:34" x14ac:dyDescent="0.3">
      <c r="B19" s="244"/>
      <c r="C19" s="5" t="s">
        <v>1</v>
      </c>
      <c r="D19" s="5"/>
      <c r="E19" s="5"/>
      <c r="F19" s="5"/>
      <c r="G19" s="5"/>
      <c r="H19" s="5"/>
      <c r="I19" s="5"/>
      <c r="J19" s="5">
        <v>0</v>
      </c>
      <c r="K19" s="5"/>
      <c r="L19" s="5"/>
      <c r="M19" s="5"/>
      <c r="N19" s="5">
        <v>0</v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</row>
    <row r="20" spans="2:34" x14ac:dyDescent="0.3">
      <c r="B20" s="244"/>
      <c r="C20" s="5" t="s">
        <v>2</v>
      </c>
      <c r="D20" s="5"/>
      <c r="E20" s="5"/>
      <c r="F20" s="5"/>
      <c r="G20" s="5"/>
      <c r="H20" s="5"/>
      <c r="I20" s="5"/>
      <c r="J20" s="5">
        <v>0</v>
      </c>
      <c r="K20" s="5"/>
      <c r="L20" s="5"/>
      <c r="M20" s="5"/>
      <c r="N20" s="5">
        <v>0</v>
      </c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</row>
    <row r="21" spans="2:34" x14ac:dyDescent="0.3">
      <c r="B21" s="244"/>
      <c r="C21" s="5" t="s">
        <v>3</v>
      </c>
      <c r="D21" s="5"/>
      <c r="E21" s="5"/>
      <c r="F21" s="5"/>
      <c r="G21" s="5"/>
      <c r="H21" s="5"/>
      <c r="I21" s="5"/>
      <c r="J21" s="5">
        <v>0</v>
      </c>
      <c r="K21" s="5"/>
      <c r="L21" s="5"/>
      <c r="M21" s="5"/>
      <c r="N21" s="5">
        <v>0</v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</row>
    <row r="22" spans="2:34" x14ac:dyDescent="0.3">
      <c r="B22" s="244"/>
      <c r="C22" s="5" t="s">
        <v>9</v>
      </c>
      <c r="D22" s="5">
        <f t="shared" ref="D22:AH22" si="2">SUM(D18:D21)</f>
        <v>0</v>
      </c>
      <c r="E22" s="5">
        <f t="shared" si="2"/>
        <v>0</v>
      </c>
      <c r="F22" s="5">
        <f t="shared" si="2"/>
        <v>7338</v>
      </c>
      <c r="G22" s="5">
        <f t="shared" si="2"/>
        <v>0</v>
      </c>
      <c r="H22" s="5">
        <f t="shared" si="2"/>
        <v>0</v>
      </c>
      <c r="I22" s="5">
        <f t="shared" si="2"/>
        <v>0</v>
      </c>
      <c r="J22" s="5">
        <f t="shared" si="2"/>
        <v>14799</v>
      </c>
      <c r="K22" s="5">
        <f t="shared" si="2"/>
        <v>0</v>
      </c>
      <c r="L22" s="5">
        <f t="shared" si="2"/>
        <v>0</v>
      </c>
      <c r="M22" s="5">
        <f t="shared" si="2"/>
        <v>0</v>
      </c>
      <c r="N22" s="5">
        <f t="shared" si="2"/>
        <v>7411.5</v>
      </c>
      <c r="O22" s="5">
        <f t="shared" si="2"/>
        <v>7409</v>
      </c>
      <c r="P22" s="5">
        <f t="shared" si="2"/>
        <v>0</v>
      </c>
      <c r="Q22" s="5">
        <f t="shared" si="2"/>
        <v>0</v>
      </c>
      <c r="R22" s="5">
        <f t="shared" si="2"/>
        <v>0</v>
      </c>
      <c r="S22" s="5">
        <f t="shared" si="2"/>
        <v>0</v>
      </c>
      <c r="T22" s="5">
        <f t="shared" si="2"/>
        <v>0</v>
      </c>
      <c r="U22" s="5">
        <f t="shared" si="2"/>
        <v>0</v>
      </c>
      <c r="V22" s="5">
        <f t="shared" si="2"/>
        <v>0</v>
      </c>
      <c r="W22" s="5">
        <f t="shared" si="2"/>
        <v>0</v>
      </c>
      <c r="X22" s="5">
        <f t="shared" si="2"/>
        <v>0</v>
      </c>
      <c r="Y22" s="5">
        <f t="shared" si="2"/>
        <v>0</v>
      </c>
      <c r="Z22" s="5">
        <f t="shared" si="2"/>
        <v>0</v>
      </c>
      <c r="AA22" s="5">
        <f t="shared" si="2"/>
        <v>0</v>
      </c>
      <c r="AB22" s="5">
        <f t="shared" si="2"/>
        <v>0</v>
      </c>
      <c r="AC22" s="5">
        <f t="shared" si="2"/>
        <v>0</v>
      </c>
      <c r="AD22" s="5">
        <f t="shared" si="2"/>
        <v>0</v>
      </c>
      <c r="AE22" s="5">
        <f t="shared" si="2"/>
        <v>0</v>
      </c>
      <c r="AF22" s="5">
        <f t="shared" si="2"/>
        <v>0</v>
      </c>
      <c r="AG22" s="5">
        <f t="shared" si="2"/>
        <v>0</v>
      </c>
      <c r="AH22" s="5">
        <f t="shared" si="2"/>
        <v>0</v>
      </c>
    </row>
    <row r="23" spans="2:34" x14ac:dyDescent="0.3">
      <c r="B23" s="248" t="s">
        <v>60</v>
      </c>
      <c r="C23" s="249"/>
      <c r="D23" s="5"/>
      <c r="E23" s="5"/>
      <c r="F23" s="5">
        <v>58.5</v>
      </c>
      <c r="G23" s="5">
        <v>58.5</v>
      </c>
      <c r="H23" s="5"/>
      <c r="I23" s="5"/>
      <c r="J23" s="5">
        <v>58.5</v>
      </c>
      <c r="K23" s="5">
        <v>58.5</v>
      </c>
      <c r="L23" s="5"/>
      <c r="M23" s="5"/>
      <c r="N23" s="5">
        <v>58.5</v>
      </c>
      <c r="O23" s="5">
        <v>58.5</v>
      </c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</row>
    <row r="24" spans="2:34" x14ac:dyDescent="0.3">
      <c r="B24" s="245" t="s">
        <v>24</v>
      </c>
      <c r="C24" s="245"/>
      <c r="D24" s="5"/>
      <c r="E24" s="5"/>
      <c r="F24" s="5"/>
      <c r="G24" s="5"/>
      <c r="H24" s="5"/>
      <c r="I24" s="5"/>
      <c r="J24" s="5">
        <v>0</v>
      </c>
      <c r="K24" s="5"/>
      <c r="L24" s="5"/>
      <c r="M24" s="5"/>
      <c r="N24" s="5">
        <v>0</v>
      </c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</row>
    <row r="25" spans="2:34" ht="13.95" customHeight="1" x14ac:dyDescent="0.3">
      <c r="B25" s="246" t="s">
        <v>26</v>
      </c>
      <c r="C25" s="247"/>
      <c r="D25" s="5"/>
      <c r="E25" s="5"/>
      <c r="F25" s="5"/>
      <c r="G25" s="5"/>
      <c r="H25" s="5"/>
      <c r="I25" s="5"/>
      <c r="J25" s="5">
        <v>0</v>
      </c>
      <c r="K25" s="5"/>
      <c r="L25" s="5"/>
      <c r="M25" s="5"/>
      <c r="N25" s="5">
        <v>0</v>
      </c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</row>
  </sheetData>
  <mergeCells count="7">
    <mergeCell ref="B3:B7"/>
    <mergeCell ref="B13:B17"/>
    <mergeCell ref="B24:C24"/>
    <mergeCell ref="B8:B12"/>
    <mergeCell ref="B25:C25"/>
    <mergeCell ref="B18:B22"/>
    <mergeCell ref="B23:C2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AH25"/>
  <sheetViews>
    <sheetView workbookViewId="0">
      <selection activeCell="O25" sqref="O25:O29"/>
    </sheetView>
  </sheetViews>
  <sheetFormatPr defaultRowHeight="14.4" x14ac:dyDescent="0.3"/>
  <cols>
    <col min="2" max="2" width="4.44140625" customWidth="1"/>
    <col min="3" max="3" width="8.33203125" customWidth="1"/>
    <col min="4" max="34" width="6.6640625" customWidth="1"/>
  </cols>
  <sheetData>
    <row r="2" spans="2:34" x14ac:dyDescent="0.3">
      <c r="B2" s="6" t="s">
        <v>18</v>
      </c>
      <c r="C2" s="6" t="s">
        <v>17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6">
        <v>6</v>
      </c>
      <c r="J2" s="6">
        <v>7</v>
      </c>
      <c r="K2" s="6">
        <v>8</v>
      </c>
      <c r="L2" s="6">
        <v>9</v>
      </c>
      <c r="M2" s="6">
        <v>10</v>
      </c>
      <c r="N2" s="6">
        <v>11</v>
      </c>
      <c r="O2" s="6">
        <v>12</v>
      </c>
      <c r="P2" s="6">
        <v>13</v>
      </c>
      <c r="Q2" s="6">
        <v>14</v>
      </c>
      <c r="R2" s="6">
        <v>15</v>
      </c>
      <c r="S2" s="6">
        <v>16</v>
      </c>
      <c r="T2" s="6">
        <v>17</v>
      </c>
      <c r="U2" s="6">
        <v>18</v>
      </c>
      <c r="V2" s="6">
        <v>19</v>
      </c>
      <c r="W2" s="6">
        <v>20</v>
      </c>
      <c r="X2" s="6">
        <v>21</v>
      </c>
      <c r="Y2" s="6">
        <v>22</v>
      </c>
      <c r="Z2" s="6">
        <v>23</v>
      </c>
      <c r="AA2" s="6">
        <v>24</v>
      </c>
      <c r="AB2" s="6">
        <v>25</v>
      </c>
      <c r="AC2" s="6">
        <v>26</v>
      </c>
      <c r="AD2" s="6">
        <v>27</v>
      </c>
      <c r="AE2" s="6">
        <v>28</v>
      </c>
      <c r="AF2" s="6">
        <v>29</v>
      </c>
      <c r="AG2" s="6">
        <v>30</v>
      </c>
      <c r="AH2" s="6">
        <v>31</v>
      </c>
    </row>
    <row r="3" spans="2:34" ht="15.6" customHeight="1" x14ac:dyDescent="0.3">
      <c r="B3" s="244" t="s">
        <v>22</v>
      </c>
      <c r="C3" s="5" t="s">
        <v>0</v>
      </c>
      <c r="D3" s="5"/>
      <c r="E3" s="5"/>
      <c r="F3" s="5">
        <v>11500</v>
      </c>
      <c r="G3" s="5">
        <v>0</v>
      </c>
      <c r="H3" s="5"/>
      <c r="I3" s="5"/>
      <c r="J3" s="5">
        <v>7800</v>
      </c>
      <c r="K3" s="5">
        <v>0</v>
      </c>
      <c r="L3" s="5"/>
      <c r="M3" s="5"/>
      <c r="N3" s="5">
        <v>0</v>
      </c>
      <c r="O3" s="5">
        <v>4700</v>
      </c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</row>
    <row r="4" spans="2:34" x14ac:dyDescent="0.3">
      <c r="B4" s="244"/>
      <c r="C4" s="5" t="s">
        <v>1</v>
      </c>
      <c r="D4" s="5"/>
      <c r="E4" s="5"/>
      <c r="F4" s="5"/>
      <c r="G4" s="5"/>
      <c r="H4" s="5"/>
      <c r="I4" s="5"/>
      <c r="J4" s="5">
        <v>0</v>
      </c>
      <c r="K4" s="5"/>
      <c r="L4" s="5"/>
      <c r="M4" s="5"/>
      <c r="N4" s="5">
        <v>0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</row>
    <row r="5" spans="2:34" x14ac:dyDescent="0.3">
      <c r="B5" s="244"/>
      <c r="C5" s="5" t="s">
        <v>2</v>
      </c>
      <c r="D5" s="5"/>
      <c r="E5" s="5"/>
      <c r="F5" s="5"/>
      <c r="G5" s="5"/>
      <c r="H5" s="5"/>
      <c r="I5" s="5"/>
      <c r="J5" s="5">
        <v>0</v>
      </c>
      <c r="K5" s="5"/>
      <c r="L5" s="5"/>
      <c r="M5" s="5"/>
      <c r="N5" s="5">
        <v>0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</row>
    <row r="6" spans="2:34" x14ac:dyDescent="0.3">
      <c r="B6" s="244"/>
      <c r="C6" s="5" t="s">
        <v>3</v>
      </c>
      <c r="D6" s="5"/>
      <c r="E6" s="5"/>
      <c r="F6" s="5"/>
      <c r="G6" s="5"/>
      <c r="H6" s="5"/>
      <c r="I6" s="5"/>
      <c r="J6" s="5">
        <v>0</v>
      </c>
      <c r="K6" s="5"/>
      <c r="L6" s="5"/>
      <c r="M6" s="5"/>
      <c r="N6" s="5">
        <v>0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</row>
    <row r="7" spans="2:34" x14ac:dyDescent="0.3">
      <c r="B7" s="244"/>
      <c r="C7" s="5" t="s">
        <v>9</v>
      </c>
      <c r="D7" s="5">
        <f>SUM(D3:D6)</f>
        <v>0</v>
      </c>
      <c r="E7" s="5">
        <f t="shared" ref="E7:AH7" si="0">SUM(E3:E6)</f>
        <v>0</v>
      </c>
      <c r="F7" s="5">
        <f t="shared" si="0"/>
        <v>11500</v>
      </c>
      <c r="G7" s="5">
        <f t="shared" si="0"/>
        <v>0</v>
      </c>
      <c r="H7" s="5">
        <f t="shared" si="0"/>
        <v>0</v>
      </c>
      <c r="I7" s="5">
        <f t="shared" si="0"/>
        <v>0</v>
      </c>
      <c r="J7" s="5">
        <f t="shared" si="0"/>
        <v>7800</v>
      </c>
      <c r="K7" s="5">
        <f t="shared" si="0"/>
        <v>0</v>
      </c>
      <c r="L7" s="5">
        <f t="shared" si="0"/>
        <v>0</v>
      </c>
      <c r="M7" s="5">
        <f t="shared" si="0"/>
        <v>0</v>
      </c>
      <c r="N7" s="5">
        <f t="shared" si="0"/>
        <v>0</v>
      </c>
      <c r="O7" s="5">
        <f t="shared" si="0"/>
        <v>4700</v>
      </c>
      <c r="P7" s="5">
        <f t="shared" si="0"/>
        <v>0</v>
      </c>
      <c r="Q7" s="5">
        <f t="shared" si="0"/>
        <v>0</v>
      </c>
      <c r="R7" s="5">
        <f t="shared" si="0"/>
        <v>0</v>
      </c>
      <c r="S7" s="5">
        <f t="shared" si="0"/>
        <v>0</v>
      </c>
      <c r="T7" s="5">
        <f t="shared" si="0"/>
        <v>0</v>
      </c>
      <c r="U7" s="5">
        <f t="shared" si="0"/>
        <v>0</v>
      </c>
      <c r="V7" s="5">
        <f t="shared" si="0"/>
        <v>0</v>
      </c>
      <c r="W7" s="5">
        <f t="shared" si="0"/>
        <v>0</v>
      </c>
      <c r="X7" s="5">
        <f t="shared" si="0"/>
        <v>0</v>
      </c>
      <c r="Y7" s="5">
        <f t="shared" si="0"/>
        <v>0</v>
      </c>
      <c r="Z7" s="5">
        <f t="shared" si="0"/>
        <v>0</v>
      </c>
      <c r="AA7" s="5">
        <f t="shared" si="0"/>
        <v>0</v>
      </c>
      <c r="AB7" s="5">
        <f t="shared" si="0"/>
        <v>0</v>
      </c>
      <c r="AC7" s="5">
        <f t="shared" si="0"/>
        <v>0</v>
      </c>
      <c r="AD7" s="5">
        <f t="shared" si="0"/>
        <v>0</v>
      </c>
      <c r="AE7" s="5">
        <f t="shared" si="0"/>
        <v>0</v>
      </c>
      <c r="AF7" s="5">
        <f t="shared" si="0"/>
        <v>0</v>
      </c>
      <c r="AG7" s="5">
        <f t="shared" si="0"/>
        <v>0</v>
      </c>
      <c r="AH7" s="5">
        <f t="shared" si="0"/>
        <v>0</v>
      </c>
    </row>
    <row r="8" spans="2:34" x14ac:dyDescent="0.3">
      <c r="B8" s="244" t="s">
        <v>23</v>
      </c>
      <c r="C8" s="5" t="s">
        <v>0</v>
      </c>
      <c r="D8" s="5"/>
      <c r="E8" s="5"/>
      <c r="F8" s="5">
        <v>9600</v>
      </c>
      <c r="G8" s="5">
        <v>2100</v>
      </c>
      <c r="H8" s="5"/>
      <c r="I8" s="5"/>
      <c r="J8" s="5">
        <v>7000</v>
      </c>
      <c r="K8" s="5">
        <v>0</v>
      </c>
      <c r="L8" s="5"/>
      <c r="M8" s="5"/>
      <c r="N8" s="5">
        <v>0</v>
      </c>
      <c r="O8" s="5">
        <v>4700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</row>
    <row r="9" spans="2:34" x14ac:dyDescent="0.3">
      <c r="B9" s="244"/>
      <c r="C9" s="5" t="s">
        <v>1</v>
      </c>
      <c r="D9" s="5"/>
      <c r="E9" s="5"/>
      <c r="F9" s="5"/>
      <c r="G9" s="5"/>
      <c r="H9" s="5"/>
      <c r="I9" s="5"/>
      <c r="J9" s="5">
        <v>0</v>
      </c>
      <c r="K9" s="5"/>
      <c r="L9" s="5"/>
      <c r="M9" s="5"/>
      <c r="N9" s="5">
        <v>0</v>
      </c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</row>
    <row r="10" spans="2:34" x14ac:dyDescent="0.3">
      <c r="B10" s="244"/>
      <c r="C10" s="5" t="s">
        <v>2</v>
      </c>
      <c r="D10" s="5"/>
      <c r="E10" s="5"/>
      <c r="F10" s="5"/>
      <c r="G10" s="5"/>
      <c r="H10" s="5"/>
      <c r="I10" s="5"/>
      <c r="J10" s="5">
        <v>0</v>
      </c>
      <c r="K10" s="5"/>
      <c r="L10" s="5"/>
      <c r="M10" s="5"/>
      <c r="N10" s="5">
        <v>0</v>
      </c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</row>
    <row r="11" spans="2:34" x14ac:dyDescent="0.3">
      <c r="B11" s="244"/>
      <c r="C11" s="5" t="s">
        <v>3</v>
      </c>
      <c r="D11" s="5"/>
      <c r="E11" s="5"/>
      <c r="F11" s="5"/>
      <c r="G11" s="5"/>
      <c r="H11" s="5"/>
      <c r="I11" s="5"/>
      <c r="J11" s="5">
        <v>0</v>
      </c>
      <c r="K11" s="5"/>
      <c r="L11" s="5"/>
      <c r="M11" s="5"/>
      <c r="N11" s="5">
        <v>0</v>
      </c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</row>
    <row r="12" spans="2:34" x14ac:dyDescent="0.3">
      <c r="B12" s="244"/>
      <c r="C12" s="5" t="s">
        <v>9</v>
      </c>
      <c r="D12" s="5">
        <f t="shared" ref="D12:AH12" si="1">SUM(D8:D11)</f>
        <v>0</v>
      </c>
      <c r="E12" s="5">
        <f t="shared" si="1"/>
        <v>0</v>
      </c>
      <c r="F12" s="5">
        <f t="shared" si="1"/>
        <v>9600</v>
      </c>
      <c r="G12" s="5">
        <f t="shared" si="1"/>
        <v>2100</v>
      </c>
      <c r="H12" s="5">
        <f t="shared" si="1"/>
        <v>0</v>
      </c>
      <c r="I12" s="5">
        <f t="shared" si="1"/>
        <v>0</v>
      </c>
      <c r="J12" s="5">
        <f t="shared" si="1"/>
        <v>7000</v>
      </c>
      <c r="K12" s="5">
        <f t="shared" si="1"/>
        <v>0</v>
      </c>
      <c r="L12" s="5">
        <f t="shared" si="1"/>
        <v>0</v>
      </c>
      <c r="M12" s="5">
        <f t="shared" si="1"/>
        <v>0</v>
      </c>
      <c r="N12" s="5">
        <f t="shared" si="1"/>
        <v>0</v>
      </c>
      <c r="O12" s="5">
        <f t="shared" si="1"/>
        <v>4700</v>
      </c>
      <c r="P12" s="5">
        <f t="shared" si="1"/>
        <v>0</v>
      </c>
      <c r="Q12" s="5">
        <f t="shared" si="1"/>
        <v>0</v>
      </c>
      <c r="R12" s="5">
        <f t="shared" si="1"/>
        <v>0</v>
      </c>
      <c r="S12" s="5">
        <f t="shared" si="1"/>
        <v>0</v>
      </c>
      <c r="T12" s="5">
        <f t="shared" si="1"/>
        <v>0</v>
      </c>
      <c r="U12" s="5">
        <f t="shared" si="1"/>
        <v>0</v>
      </c>
      <c r="V12" s="5">
        <f t="shared" si="1"/>
        <v>0</v>
      </c>
      <c r="W12" s="5">
        <f t="shared" si="1"/>
        <v>0</v>
      </c>
      <c r="X12" s="5">
        <f t="shared" si="1"/>
        <v>0</v>
      </c>
      <c r="Y12" s="5">
        <f t="shared" si="1"/>
        <v>0</v>
      </c>
      <c r="Z12" s="5">
        <f t="shared" si="1"/>
        <v>0</v>
      </c>
      <c r="AA12" s="5">
        <f t="shared" si="1"/>
        <v>0</v>
      </c>
      <c r="AB12" s="5">
        <f t="shared" si="1"/>
        <v>0</v>
      </c>
      <c r="AC12" s="5">
        <f t="shared" si="1"/>
        <v>0</v>
      </c>
      <c r="AD12" s="5">
        <f t="shared" si="1"/>
        <v>0</v>
      </c>
      <c r="AE12" s="5">
        <f t="shared" si="1"/>
        <v>0</v>
      </c>
      <c r="AF12" s="5">
        <f t="shared" si="1"/>
        <v>0</v>
      </c>
      <c r="AG12" s="5">
        <f t="shared" si="1"/>
        <v>0</v>
      </c>
      <c r="AH12" s="5">
        <f t="shared" si="1"/>
        <v>0</v>
      </c>
    </row>
    <row r="13" spans="2:34" x14ac:dyDescent="0.3">
      <c r="B13" s="244" t="s">
        <v>36</v>
      </c>
      <c r="C13" s="5" t="s">
        <v>0</v>
      </c>
      <c r="D13" s="5">
        <f>'Исходные данные'!$E11/'Исходные данные'!$J$4</f>
        <v>3220</v>
      </c>
      <c r="E13" s="5">
        <f>'Исходные данные'!$E11/'Исходные данные'!$J$4</f>
        <v>3220</v>
      </c>
      <c r="F13" s="5">
        <f>'Исходные данные'!$E11/'Исходные данные'!$J$4</f>
        <v>3220</v>
      </c>
      <c r="G13" s="5">
        <f>'Исходные данные'!$E11/'Исходные данные'!$J$4</f>
        <v>3220</v>
      </c>
      <c r="H13" s="5">
        <f>'Исходные данные'!$E11/'Исходные данные'!$J$4</f>
        <v>3220</v>
      </c>
      <c r="I13" s="5">
        <f>'Исходные данные'!$E11/'Исходные данные'!$J$4</f>
        <v>3220</v>
      </c>
      <c r="J13" s="5">
        <f>'Исходные данные'!$E11/'Исходные данные'!$J$4</f>
        <v>3220</v>
      </c>
      <c r="K13" s="5">
        <f>'Исходные данные'!$E11/'Исходные данные'!$J$4</f>
        <v>3220</v>
      </c>
      <c r="L13" s="5">
        <f>'Исходные данные'!$E11/'Исходные данные'!$J$4</f>
        <v>3220</v>
      </c>
      <c r="M13" s="5">
        <f>'Исходные данные'!$E11/'Исходные данные'!$J$4</f>
        <v>3220</v>
      </c>
      <c r="N13" s="5">
        <f>'Исходные данные'!$E11/'Исходные данные'!$J$4</f>
        <v>3220</v>
      </c>
      <c r="O13" s="5">
        <f>'Исходные данные'!$E11/'Исходные данные'!$J$4</f>
        <v>3220</v>
      </c>
      <c r="P13" s="5">
        <f>'Исходные данные'!$E11/'Исходные данные'!$J$4</f>
        <v>3220</v>
      </c>
      <c r="Q13" s="5">
        <f>'Исходные данные'!$E11/'Исходные данные'!$J$4</f>
        <v>3220</v>
      </c>
      <c r="R13" s="5">
        <f>'Исходные данные'!$E11/'Исходные данные'!$J$4</f>
        <v>3220</v>
      </c>
      <c r="S13" s="5">
        <f>'Исходные данные'!$E11/'Исходные данные'!$J$4</f>
        <v>3220</v>
      </c>
      <c r="T13" s="5">
        <f>'Исходные данные'!$E11/'Исходные данные'!$J$4</f>
        <v>3220</v>
      </c>
      <c r="U13" s="5">
        <f>'Исходные данные'!$E11/'Исходные данные'!$J$4</f>
        <v>3220</v>
      </c>
      <c r="V13" s="5">
        <f>'Исходные данные'!$E11/'Исходные данные'!$J$4</f>
        <v>3220</v>
      </c>
      <c r="W13" s="5">
        <f>'Исходные данные'!$E11/'Исходные данные'!$J$4</f>
        <v>3220</v>
      </c>
      <c r="X13" s="5">
        <f>'Исходные данные'!$E11/'Исходные данные'!$J$4</f>
        <v>3220</v>
      </c>
      <c r="Y13" s="5">
        <f>'Исходные данные'!$E11/'Исходные данные'!$J$4</f>
        <v>3220</v>
      </c>
      <c r="Z13" s="5">
        <f>'Исходные данные'!$E11/'Исходные данные'!$J$4</f>
        <v>3220</v>
      </c>
      <c r="AA13" s="5">
        <f>'Исходные данные'!$E11/'Исходные данные'!$J$4</f>
        <v>3220</v>
      </c>
      <c r="AB13" s="5">
        <f>'Исходные данные'!$E11/'Исходные данные'!$J$4</f>
        <v>3220</v>
      </c>
      <c r="AC13" s="5">
        <f>'Исходные данные'!$E11/'Исходные данные'!$J$4</f>
        <v>3220</v>
      </c>
      <c r="AD13" s="5">
        <f>'Исходные данные'!$E11/'Исходные данные'!$J$4</f>
        <v>3220</v>
      </c>
      <c r="AE13" s="5">
        <f>'Исходные данные'!$E11/'Исходные данные'!$J$4</f>
        <v>3220</v>
      </c>
      <c r="AF13" s="5">
        <f>'Исходные данные'!$E11/'Исходные данные'!$J$4</f>
        <v>3220</v>
      </c>
      <c r="AG13" s="5">
        <f>'Исходные данные'!$E11/'Исходные данные'!$J$4</f>
        <v>3220</v>
      </c>
      <c r="AH13" s="5">
        <f>'Исходные данные'!$E11/'Исходные данные'!$J$4</f>
        <v>3220</v>
      </c>
    </row>
    <row r="14" spans="2:34" x14ac:dyDescent="0.3">
      <c r="B14" s="244"/>
      <c r="C14" s="5" t="s">
        <v>1</v>
      </c>
      <c r="D14" s="5">
        <f>'Исходные данные'!$E12/'Исходные данные'!$J$4</f>
        <v>0</v>
      </c>
      <c r="E14" s="5">
        <f>'Исходные данные'!$E12/'Исходные данные'!$J$4</f>
        <v>0</v>
      </c>
      <c r="F14" s="5">
        <f>'Исходные данные'!$E12/'Исходные данные'!$J$4</f>
        <v>0</v>
      </c>
      <c r="G14" s="5">
        <f>'Исходные данные'!$E12/'Исходные данные'!$J$4</f>
        <v>0</v>
      </c>
      <c r="H14" s="5">
        <f>'Исходные данные'!$E12/'Исходные данные'!$J$4</f>
        <v>0</v>
      </c>
      <c r="I14" s="5">
        <f>'Исходные данные'!$E12/'Исходные данные'!$J$4</f>
        <v>0</v>
      </c>
      <c r="J14" s="5">
        <f>'Исходные данные'!$E12/'Исходные данные'!$J$4</f>
        <v>0</v>
      </c>
      <c r="K14" s="5">
        <f>'Исходные данные'!$E12/'Исходные данные'!$J$4</f>
        <v>0</v>
      </c>
      <c r="L14" s="5">
        <f>'Исходные данные'!$E12/'Исходные данные'!$J$4</f>
        <v>0</v>
      </c>
      <c r="M14" s="5">
        <f>'Исходные данные'!$E12/'Исходные данные'!$J$4</f>
        <v>0</v>
      </c>
      <c r="N14" s="5">
        <f>'Исходные данные'!$E12/'Исходные данные'!$J$4</f>
        <v>0</v>
      </c>
      <c r="O14" s="5">
        <f>'Исходные данные'!$E12/'Исходные данные'!$J$4</f>
        <v>0</v>
      </c>
      <c r="P14" s="5">
        <f>'Исходные данные'!$E12/'Исходные данные'!$J$4</f>
        <v>0</v>
      </c>
      <c r="Q14" s="5">
        <f>'Исходные данные'!$E12/'Исходные данные'!$J$4</f>
        <v>0</v>
      </c>
      <c r="R14" s="5">
        <f>'Исходные данные'!$E12/'Исходные данные'!$J$4</f>
        <v>0</v>
      </c>
      <c r="S14" s="5">
        <f>'Исходные данные'!$E12/'Исходные данные'!$J$4</f>
        <v>0</v>
      </c>
      <c r="T14" s="5">
        <f>'Исходные данные'!$E12/'Исходные данные'!$J$4</f>
        <v>0</v>
      </c>
      <c r="U14" s="5">
        <f>'Исходные данные'!$E12/'Исходные данные'!$J$4</f>
        <v>0</v>
      </c>
      <c r="V14" s="5">
        <f>'Исходные данные'!$E12/'Исходные данные'!$J$4</f>
        <v>0</v>
      </c>
      <c r="W14" s="5">
        <f>'Исходные данные'!$E12/'Исходные данные'!$J$4</f>
        <v>0</v>
      </c>
      <c r="X14" s="5">
        <f>'Исходные данные'!$E12/'Исходные данные'!$J$4</f>
        <v>0</v>
      </c>
      <c r="Y14" s="5">
        <f>'Исходные данные'!$E12/'Исходные данные'!$J$4</f>
        <v>0</v>
      </c>
      <c r="Z14" s="5">
        <f>'Исходные данные'!$E12/'Исходные данные'!$J$4</f>
        <v>0</v>
      </c>
      <c r="AA14" s="5">
        <f>'Исходные данные'!$E12/'Исходные данные'!$J$4</f>
        <v>0</v>
      </c>
      <c r="AB14" s="5">
        <f>'Исходные данные'!$E12/'Исходные данные'!$J$4</f>
        <v>0</v>
      </c>
      <c r="AC14" s="5">
        <f>'Исходные данные'!$E12/'Исходные данные'!$J$4</f>
        <v>0</v>
      </c>
      <c r="AD14" s="5">
        <f>'Исходные данные'!$E12/'Исходные данные'!$J$4</f>
        <v>0</v>
      </c>
      <c r="AE14" s="5">
        <f>'Исходные данные'!$E12/'Исходные данные'!$J$4</f>
        <v>0</v>
      </c>
      <c r="AF14" s="5">
        <f>'Исходные данные'!$E12/'Исходные данные'!$J$4</f>
        <v>0</v>
      </c>
      <c r="AG14" s="5">
        <f>'Исходные данные'!$E12/'Исходные данные'!$J$4</f>
        <v>0</v>
      </c>
      <c r="AH14" s="5">
        <f>'Исходные данные'!$E12/'Исходные данные'!$J$4</f>
        <v>0</v>
      </c>
    </row>
    <row r="15" spans="2:34" x14ac:dyDescent="0.3">
      <c r="B15" s="244"/>
      <c r="C15" s="5" t="s">
        <v>2</v>
      </c>
      <c r="D15" s="5">
        <f>'Исходные данные'!$E13/'Исходные данные'!$J$4</f>
        <v>0</v>
      </c>
      <c r="E15" s="5">
        <f>'Исходные данные'!$E13/'Исходные данные'!$J$4</f>
        <v>0</v>
      </c>
      <c r="F15" s="5">
        <f>'Исходные данные'!$E13/'Исходные данные'!$J$4</f>
        <v>0</v>
      </c>
      <c r="G15" s="5">
        <f>'Исходные данные'!$E13/'Исходные данные'!$J$4</f>
        <v>0</v>
      </c>
      <c r="H15" s="5">
        <f>'Исходные данные'!$E13/'Исходные данные'!$J$4</f>
        <v>0</v>
      </c>
      <c r="I15" s="5">
        <f>'Исходные данные'!$E13/'Исходные данные'!$J$4</f>
        <v>0</v>
      </c>
      <c r="J15" s="5">
        <f>'Исходные данные'!$E13/'Исходные данные'!$J$4</f>
        <v>0</v>
      </c>
      <c r="K15" s="5">
        <f>'Исходные данные'!$E13/'Исходные данные'!$J$4</f>
        <v>0</v>
      </c>
      <c r="L15" s="5">
        <f>'Исходные данные'!$E13/'Исходные данные'!$J$4</f>
        <v>0</v>
      </c>
      <c r="M15" s="5">
        <f>'Исходные данные'!$E13/'Исходные данные'!$J$4</f>
        <v>0</v>
      </c>
      <c r="N15" s="5">
        <f>'Исходные данные'!$E13/'Исходные данные'!$J$4</f>
        <v>0</v>
      </c>
      <c r="O15" s="5">
        <f>'Исходные данные'!$E13/'Исходные данные'!$J$4</f>
        <v>0</v>
      </c>
      <c r="P15" s="5">
        <f>'Исходные данные'!$E13/'Исходные данные'!$J$4</f>
        <v>0</v>
      </c>
      <c r="Q15" s="5">
        <f>'Исходные данные'!$E13/'Исходные данные'!$J$4</f>
        <v>0</v>
      </c>
      <c r="R15" s="5">
        <f>'Исходные данные'!$E13/'Исходные данные'!$J$4</f>
        <v>0</v>
      </c>
      <c r="S15" s="5">
        <f>'Исходные данные'!$E13/'Исходные данные'!$J$4</f>
        <v>0</v>
      </c>
      <c r="T15" s="5">
        <f>'Исходные данные'!$E13/'Исходные данные'!$J$4</f>
        <v>0</v>
      </c>
      <c r="U15" s="5">
        <f>'Исходные данные'!$E13/'Исходные данные'!$J$4</f>
        <v>0</v>
      </c>
      <c r="V15" s="5">
        <f>'Исходные данные'!$E13/'Исходные данные'!$J$4</f>
        <v>0</v>
      </c>
      <c r="W15" s="5">
        <f>'Исходные данные'!$E13/'Исходные данные'!$J$4</f>
        <v>0</v>
      </c>
      <c r="X15" s="5">
        <f>'Исходные данные'!$E13/'Исходные данные'!$J$4</f>
        <v>0</v>
      </c>
      <c r="Y15" s="5">
        <f>'Исходные данные'!$E13/'Исходные данные'!$J$4</f>
        <v>0</v>
      </c>
      <c r="Z15" s="5">
        <f>'Исходные данные'!$E13/'Исходные данные'!$J$4</f>
        <v>0</v>
      </c>
      <c r="AA15" s="5">
        <f>'Исходные данные'!$E13/'Исходные данные'!$J$4</f>
        <v>0</v>
      </c>
      <c r="AB15" s="5">
        <f>'Исходные данные'!$E13/'Исходные данные'!$J$4</f>
        <v>0</v>
      </c>
      <c r="AC15" s="5">
        <f>'Исходные данные'!$E13/'Исходные данные'!$J$4</f>
        <v>0</v>
      </c>
      <c r="AD15" s="5">
        <f>'Исходные данные'!$E13/'Исходные данные'!$J$4</f>
        <v>0</v>
      </c>
      <c r="AE15" s="5">
        <f>'Исходные данные'!$E13/'Исходные данные'!$J$4</f>
        <v>0</v>
      </c>
      <c r="AF15" s="5">
        <f>'Исходные данные'!$E13/'Исходные данные'!$J$4</f>
        <v>0</v>
      </c>
      <c r="AG15" s="5">
        <f>'Исходные данные'!$E13/'Исходные данные'!$J$4</f>
        <v>0</v>
      </c>
      <c r="AH15" s="5">
        <f>'Исходные данные'!$E13/'Исходные данные'!$J$4</f>
        <v>0</v>
      </c>
    </row>
    <row r="16" spans="2:34" x14ac:dyDescent="0.3">
      <c r="B16" s="244"/>
      <c r="C16" s="5" t="s">
        <v>3</v>
      </c>
      <c r="D16" s="5">
        <f>'Исходные данные'!$E14/'Исходные данные'!$J$4</f>
        <v>0</v>
      </c>
      <c r="E16" s="5">
        <f>'Исходные данные'!$E14/'Исходные данные'!$J$4</f>
        <v>0</v>
      </c>
      <c r="F16" s="5">
        <f>'Исходные данные'!$E14/'Исходные данные'!$J$4</f>
        <v>0</v>
      </c>
      <c r="G16" s="5">
        <f>'Исходные данные'!$E14/'Исходные данные'!$J$4</f>
        <v>0</v>
      </c>
      <c r="H16" s="5">
        <f>'Исходные данные'!$E14/'Исходные данные'!$J$4</f>
        <v>0</v>
      </c>
      <c r="I16" s="5">
        <f>'Исходные данные'!$E14/'Исходные данные'!$J$4</f>
        <v>0</v>
      </c>
      <c r="J16" s="5">
        <f>'Исходные данные'!$E14/'Исходные данные'!$J$4</f>
        <v>0</v>
      </c>
      <c r="K16" s="5">
        <f>'Исходные данные'!$E14/'Исходные данные'!$J$4</f>
        <v>0</v>
      </c>
      <c r="L16" s="5">
        <f>'Исходные данные'!$E14/'Исходные данные'!$J$4</f>
        <v>0</v>
      </c>
      <c r="M16" s="5">
        <f>'Исходные данные'!$E14/'Исходные данные'!$J$4</f>
        <v>0</v>
      </c>
      <c r="N16" s="5">
        <f>'Исходные данные'!$E14/'Исходные данные'!$J$4</f>
        <v>0</v>
      </c>
      <c r="O16" s="5">
        <f>'Исходные данные'!$E14/'Исходные данные'!$J$4</f>
        <v>0</v>
      </c>
      <c r="P16" s="5">
        <f>'Исходные данные'!$E14/'Исходные данные'!$J$4</f>
        <v>0</v>
      </c>
      <c r="Q16" s="5">
        <f>'Исходные данные'!$E14/'Исходные данные'!$J$4</f>
        <v>0</v>
      </c>
      <c r="R16" s="5">
        <f>'Исходные данные'!$E14/'Исходные данные'!$J$4</f>
        <v>0</v>
      </c>
      <c r="S16" s="5">
        <f>'Исходные данные'!$E14/'Исходные данные'!$J$4</f>
        <v>0</v>
      </c>
      <c r="T16" s="5">
        <f>'Исходные данные'!$E14/'Исходные данные'!$J$4</f>
        <v>0</v>
      </c>
      <c r="U16" s="5">
        <f>'Исходные данные'!$E14/'Исходные данные'!$J$4</f>
        <v>0</v>
      </c>
      <c r="V16" s="5">
        <f>'Исходные данные'!$E14/'Исходные данные'!$J$4</f>
        <v>0</v>
      </c>
      <c r="W16" s="5">
        <f>'Исходные данные'!$E14/'Исходные данные'!$J$4</f>
        <v>0</v>
      </c>
      <c r="X16" s="5">
        <f>'Исходные данные'!$E14/'Исходные данные'!$J$4</f>
        <v>0</v>
      </c>
      <c r="Y16" s="5">
        <f>'Исходные данные'!$E14/'Исходные данные'!$J$4</f>
        <v>0</v>
      </c>
      <c r="Z16" s="5">
        <f>'Исходные данные'!$E14/'Исходные данные'!$J$4</f>
        <v>0</v>
      </c>
      <c r="AA16" s="5">
        <f>'Исходные данные'!$E14/'Исходные данные'!$J$4</f>
        <v>0</v>
      </c>
      <c r="AB16" s="5">
        <f>'Исходные данные'!$E14/'Исходные данные'!$J$4</f>
        <v>0</v>
      </c>
      <c r="AC16" s="5">
        <f>'Исходные данные'!$E14/'Исходные данные'!$J$4</f>
        <v>0</v>
      </c>
      <c r="AD16" s="5">
        <f>'Исходные данные'!$E14/'Исходные данные'!$J$4</f>
        <v>0</v>
      </c>
      <c r="AE16" s="5">
        <f>'Исходные данные'!$E14/'Исходные данные'!$J$4</f>
        <v>0</v>
      </c>
      <c r="AF16" s="5">
        <f>'Исходные данные'!$E14/'Исходные данные'!$J$4</f>
        <v>0</v>
      </c>
      <c r="AG16" s="5">
        <f>'Исходные данные'!$E14/'Исходные данные'!$J$4</f>
        <v>0</v>
      </c>
      <c r="AH16" s="5">
        <f>'Исходные данные'!$E14/'Исходные данные'!$J$4</f>
        <v>0</v>
      </c>
    </row>
    <row r="17" spans="2:34" x14ac:dyDescent="0.3">
      <c r="B17" s="244"/>
      <c r="C17" s="5" t="s">
        <v>9</v>
      </c>
      <c r="D17" s="5">
        <f>'Исходные данные'!$E15/'Исходные данные'!$J$4</f>
        <v>3220</v>
      </c>
      <c r="E17" s="5">
        <f>'Исходные данные'!$E15/'Исходные данные'!$J$4</f>
        <v>3220</v>
      </c>
      <c r="F17" s="5">
        <f>'Исходные данные'!$E15/'Исходные данные'!$J$4</f>
        <v>3220</v>
      </c>
      <c r="G17" s="5">
        <f>'Исходные данные'!$E15/'Исходные данные'!$J$4</f>
        <v>3220</v>
      </c>
      <c r="H17" s="5">
        <f>'Исходные данные'!$E15/'Исходные данные'!$J$4</f>
        <v>3220</v>
      </c>
      <c r="I17" s="5">
        <f>'Исходные данные'!$E15/'Исходные данные'!$J$4</f>
        <v>3220</v>
      </c>
      <c r="J17" s="5">
        <f>'Исходные данные'!$E15/'Исходные данные'!$J$4</f>
        <v>3220</v>
      </c>
      <c r="K17" s="5">
        <f>'Исходные данные'!$E15/'Исходные данные'!$J$4</f>
        <v>3220</v>
      </c>
      <c r="L17" s="5">
        <f>'Исходные данные'!$E15/'Исходные данные'!$J$4</f>
        <v>3220</v>
      </c>
      <c r="M17" s="5">
        <f>'Исходные данные'!$E15/'Исходные данные'!$J$4</f>
        <v>3220</v>
      </c>
      <c r="N17" s="5">
        <f>'Исходные данные'!$E15/'Исходные данные'!$J$4</f>
        <v>3220</v>
      </c>
      <c r="O17" s="5">
        <f>'Исходные данные'!$E15/'Исходные данные'!$J$4</f>
        <v>3220</v>
      </c>
      <c r="P17" s="5">
        <f>'Исходные данные'!$E15/'Исходные данные'!$J$4</f>
        <v>3220</v>
      </c>
      <c r="Q17" s="5">
        <f>'Исходные данные'!$E15/'Исходные данные'!$J$4</f>
        <v>3220</v>
      </c>
      <c r="R17" s="5">
        <f>'Исходные данные'!$E15/'Исходные данные'!$J$4</f>
        <v>3220</v>
      </c>
      <c r="S17" s="5">
        <f>'Исходные данные'!$E15/'Исходные данные'!$J$4</f>
        <v>3220</v>
      </c>
      <c r="T17" s="5">
        <f>'Исходные данные'!$E15/'Исходные данные'!$J$4</f>
        <v>3220</v>
      </c>
      <c r="U17" s="5">
        <f>'Исходные данные'!$E15/'Исходные данные'!$J$4</f>
        <v>3220</v>
      </c>
      <c r="V17" s="5">
        <f>'Исходные данные'!$E15/'Исходные данные'!$J$4</f>
        <v>3220</v>
      </c>
      <c r="W17" s="5">
        <f>'Исходные данные'!$E15/'Исходные данные'!$J$4</f>
        <v>3220</v>
      </c>
      <c r="X17" s="5">
        <f>'Исходные данные'!$E15/'Исходные данные'!$J$4</f>
        <v>3220</v>
      </c>
      <c r="Y17" s="5">
        <f>'Исходные данные'!$E15/'Исходные данные'!$J$4</f>
        <v>3220</v>
      </c>
      <c r="Z17" s="5">
        <f>'Исходные данные'!$E15/'Исходные данные'!$J$4</f>
        <v>3220</v>
      </c>
      <c r="AA17" s="5">
        <f>'Исходные данные'!$E15/'Исходные данные'!$J$4</f>
        <v>3220</v>
      </c>
      <c r="AB17" s="5">
        <f>'Исходные данные'!$E15/'Исходные данные'!$J$4</f>
        <v>3220</v>
      </c>
      <c r="AC17" s="5">
        <f>'Исходные данные'!$E15/'Исходные данные'!$J$4</f>
        <v>3220</v>
      </c>
      <c r="AD17" s="5">
        <f>'Исходные данные'!$E15/'Исходные данные'!$J$4</f>
        <v>3220</v>
      </c>
      <c r="AE17" s="5">
        <f>'Исходные данные'!$E15/'Исходные данные'!$J$4</f>
        <v>3220</v>
      </c>
      <c r="AF17" s="5">
        <f>'Исходные данные'!$E15/'Исходные данные'!$J$4</f>
        <v>3220</v>
      </c>
      <c r="AG17" s="5">
        <f>'Исходные данные'!$E15/'Исходные данные'!$J$4</f>
        <v>3220</v>
      </c>
      <c r="AH17" s="5">
        <f>'Исходные данные'!$E15/'Исходные данные'!$J$4</f>
        <v>3220</v>
      </c>
    </row>
    <row r="18" spans="2:34" x14ac:dyDescent="0.3">
      <c r="B18" s="244" t="s">
        <v>35</v>
      </c>
      <c r="C18" s="5" t="s">
        <v>0</v>
      </c>
      <c r="D18" s="5"/>
      <c r="E18" s="5"/>
      <c r="F18" s="5">
        <v>0</v>
      </c>
      <c r="G18" s="5">
        <v>0</v>
      </c>
      <c r="H18" s="5"/>
      <c r="I18" s="5"/>
      <c r="J18" s="5">
        <v>0</v>
      </c>
      <c r="K18" s="5">
        <v>3702</v>
      </c>
      <c r="L18" s="5"/>
      <c r="M18" s="5"/>
      <c r="N18" s="5">
        <v>3711</v>
      </c>
      <c r="O18" s="5">
        <v>3709.5</v>
      </c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</row>
    <row r="19" spans="2:34" x14ac:dyDescent="0.3">
      <c r="B19" s="244"/>
      <c r="C19" s="5" t="s">
        <v>1</v>
      </c>
      <c r="D19" s="5"/>
      <c r="E19" s="5"/>
      <c r="F19" s="5"/>
      <c r="G19" s="5"/>
      <c r="H19" s="5"/>
      <c r="I19" s="5"/>
      <c r="J19" s="5">
        <v>0</v>
      </c>
      <c r="K19" s="5"/>
      <c r="L19" s="5"/>
      <c r="M19" s="5"/>
      <c r="N19" s="5">
        <v>0</v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</row>
    <row r="20" spans="2:34" x14ac:dyDescent="0.3">
      <c r="B20" s="244"/>
      <c r="C20" s="5" t="s">
        <v>2</v>
      </c>
      <c r="D20" s="5"/>
      <c r="E20" s="5"/>
      <c r="F20" s="5"/>
      <c r="G20" s="5"/>
      <c r="H20" s="5"/>
      <c r="I20" s="5"/>
      <c r="J20" s="5">
        <v>0</v>
      </c>
      <c r="K20" s="5"/>
      <c r="L20" s="5"/>
      <c r="M20" s="5"/>
      <c r="N20" s="5">
        <v>0</v>
      </c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</row>
    <row r="21" spans="2:34" x14ac:dyDescent="0.3">
      <c r="B21" s="244"/>
      <c r="C21" s="5" t="s">
        <v>3</v>
      </c>
      <c r="D21" s="5"/>
      <c r="E21" s="5"/>
      <c r="F21" s="5"/>
      <c r="G21" s="5"/>
      <c r="H21" s="5"/>
      <c r="I21" s="5"/>
      <c r="J21" s="5">
        <v>0</v>
      </c>
      <c r="K21" s="5"/>
      <c r="L21" s="5"/>
      <c r="M21" s="5"/>
      <c r="N21" s="5">
        <v>0</v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</row>
    <row r="22" spans="2:34" x14ac:dyDescent="0.3">
      <c r="B22" s="244"/>
      <c r="C22" s="5" t="s">
        <v>9</v>
      </c>
      <c r="D22" s="5">
        <f t="shared" ref="D22:AH22" si="2">SUM(D18:D21)</f>
        <v>0</v>
      </c>
      <c r="E22" s="5">
        <f t="shared" si="2"/>
        <v>0</v>
      </c>
      <c r="F22" s="5">
        <f t="shared" si="2"/>
        <v>0</v>
      </c>
      <c r="G22" s="5">
        <f t="shared" si="2"/>
        <v>0</v>
      </c>
      <c r="H22" s="5">
        <f t="shared" si="2"/>
        <v>0</v>
      </c>
      <c r="I22" s="5">
        <f t="shared" si="2"/>
        <v>0</v>
      </c>
      <c r="J22" s="5">
        <f t="shared" si="2"/>
        <v>0</v>
      </c>
      <c r="K22" s="5">
        <f t="shared" si="2"/>
        <v>3702</v>
      </c>
      <c r="L22" s="5">
        <f t="shared" si="2"/>
        <v>0</v>
      </c>
      <c r="M22" s="5">
        <f t="shared" si="2"/>
        <v>0</v>
      </c>
      <c r="N22" s="5">
        <f t="shared" si="2"/>
        <v>3711</v>
      </c>
      <c r="O22" s="5">
        <f t="shared" si="2"/>
        <v>3709.5</v>
      </c>
      <c r="P22" s="5">
        <f t="shared" si="2"/>
        <v>0</v>
      </c>
      <c r="Q22" s="5">
        <f t="shared" si="2"/>
        <v>0</v>
      </c>
      <c r="R22" s="5">
        <f t="shared" si="2"/>
        <v>0</v>
      </c>
      <c r="S22" s="5">
        <f t="shared" si="2"/>
        <v>0</v>
      </c>
      <c r="T22" s="5">
        <f t="shared" si="2"/>
        <v>0</v>
      </c>
      <c r="U22" s="5">
        <f t="shared" si="2"/>
        <v>0</v>
      </c>
      <c r="V22" s="5">
        <f t="shared" si="2"/>
        <v>0</v>
      </c>
      <c r="W22" s="5">
        <f t="shared" si="2"/>
        <v>0</v>
      </c>
      <c r="X22" s="5">
        <f t="shared" si="2"/>
        <v>0</v>
      </c>
      <c r="Y22" s="5">
        <f t="shared" si="2"/>
        <v>0</v>
      </c>
      <c r="Z22" s="5">
        <f t="shared" si="2"/>
        <v>0</v>
      </c>
      <c r="AA22" s="5">
        <f t="shared" si="2"/>
        <v>0</v>
      </c>
      <c r="AB22" s="5">
        <f t="shared" si="2"/>
        <v>0</v>
      </c>
      <c r="AC22" s="5">
        <f t="shared" si="2"/>
        <v>0</v>
      </c>
      <c r="AD22" s="5">
        <f t="shared" si="2"/>
        <v>0</v>
      </c>
      <c r="AE22" s="5">
        <f t="shared" si="2"/>
        <v>0</v>
      </c>
      <c r="AF22" s="5">
        <f t="shared" si="2"/>
        <v>0</v>
      </c>
      <c r="AG22" s="5">
        <f t="shared" si="2"/>
        <v>0</v>
      </c>
      <c r="AH22" s="5">
        <f t="shared" si="2"/>
        <v>0</v>
      </c>
    </row>
    <row r="23" spans="2:34" x14ac:dyDescent="0.3">
      <c r="B23" s="248" t="s">
        <v>60</v>
      </c>
      <c r="C23" s="249"/>
      <c r="D23" s="5"/>
      <c r="E23" s="5"/>
      <c r="F23" s="5">
        <v>60.7</v>
      </c>
      <c r="G23" s="5">
        <v>60.7</v>
      </c>
      <c r="H23" s="5"/>
      <c r="I23" s="5"/>
      <c r="J23" s="5">
        <v>60.7</v>
      </c>
      <c r="K23" s="5">
        <v>60.7</v>
      </c>
      <c r="L23" s="5"/>
      <c r="M23" s="5"/>
      <c r="N23" s="5">
        <v>60.7</v>
      </c>
      <c r="O23" s="5">
        <v>60.7</v>
      </c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</row>
    <row r="24" spans="2:34" x14ac:dyDescent="0.3">
      <c r="B24" s="245" t="s">
        <v>24</v>
      </c>
      <c r="C24" s="245"/>
      <c r="D24" s="5"/>
      <c r="E24" s="5"/>
      <c r="F24" s="5"/>
      <c r="G24" s="5"/>
      <c r="H24" s="5"/>
      <c r="I24" s="5"/>
      <c r="J24" s="5">
        <v>0</v>
      </c>
      <c r="K24" s="5"/>
      <c r="L24" s="5"/>
      <c r="M24" s="5"/>
      <c r="N24" s="5">
        <v>0</v>
      </c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</row>
    <row r="25" spans="2:34" ht="13.95" customHeight="1" x14ac:dyDescent="0.3">
      <c r="B25" s="246" t="s">
        <v>26</v>
      </c>
      <c r="C25" s="247"/>
      <c r="D25" s="5"/>
      <c r="E25" s="5"/>
      <c r="F25" s="5"/>
      <c r="G25" s="5"/>
      <c r="H25" s="5"/>
      <c r="I25" s="5"/>
      <c r="J25" s="5">
        <v>0</v>
      </c>
      <c r="K25" s="5"/>
      <c r="L25" s="5"/>
      <c r="M25" s="5"/>
      <c r="N25" s="5">
        <v>0</v>
      </c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</row>
  </sheetData>
  <mergeCells count="7">
    <mergeCell ref="B25:C25"/>
    <mergeCell ref="B3:B7"/>
    <mergeCell ref="B8:B12"/>
    <mergeCell ref="B13:B17"/>
    <mergeCell ref="B18:B22"/>
    <mergeCell ref="B24:C24"/>
    <mergeCell ref="B23:C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2:AH25"/>
  <sheetViews>
    <sheetView workbookViewId="0">
      <selection activeCell="O25" sqref="O25:O29"/>
    </sheetView>
  </sheetViews>
  <sheetFormatPr defaultRowHeight="14.4" x14ac:dyDescent="0.3"/>
  <cols>
    <col min="2" max="2" width="4.44140625" customWidth="1"/>
    <col min="3" max="3" width="8.33203125" customWidth="1"/>
    <col min="4" max="34" width="6.6640625" customWidth="1"/>
  </cols>
  <sheetData>
    <row r="2" spans="2:34" x14ac:dyDescent="0.3">
      <c r="B2" s="6" t="s">
        <v>18</v>
      </c>
      <c r="C2" s="6" t="s">
        <v>17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6">
        <v>6</v>
      </c>
      <c r="J2" s="6">
        <v>7</v>
      </c>
      <c r="K2" s="6">
        <v>8</v>
      </c>
      <c r="L2" s="6">
        <v>9</v>
      </c>
      <c r="M2" s="6">
        <v>10</v>
      </c>
      <c r="N2" s="6">
        <v>11</v>
      </c>
      <c r="O2" s="6">
        <v>12</v>
      </c>
      <c r="P2" s="6">
        <v>13</v>
      </c>
      <c r="Q2" s="6">
        <v>14</v>
      </c>
      <c r="R2" s="6">
        <v>15</v>
      </c>
      <c r="S2" s="6">
        <v>16</v>
      </c>
      <c r="T2" s="6">
        <v>17</v>
      </c>
      <c r="U2" s="6">
        <v>18</v>
      </c>
      <c r="V2" s="6">
        <v>19</v>
      </c>
      <c r="W2" s="6">
        <v>20</v>
      </c>
      <c r="X2" s="6">
        <v>21</v>
      </c>
      <c r="Y2" s="6">
        <v>22</v>
      </c>
      <c r="Z2" s="6">
        <v>23</v>
      </c>
      <c r="AA2" s="6">
        <v>24</v>
      </c>
      <c r="AB2" s="6">
        <v>25</v>
      </c>
      <c r="AC2" s="6">
        <v>26</v>
      </c>
      <c r="AD2" s="6">
        <v>27</v>
      </c>
      <c r="AE2" s="6">
        <v>28</v>
      </c>
      <c r="AF2" s="6">
        <v>29</v>
      </c>
      <c r="AG2" s="6">
        <v>30</v>
      </c>
      <c r="AH2" s="6">
        <v>31</v>
      </c>
    </row>
    <row r="3" spans="2:34" ht="15.6" customHeight="1" x14ac:dyDescent="0.3">
      <c r="B3" s="244" t="s">
        <v>22</v>
      </c>
      <c r="C3" s="5" t="s">
        <v>0</v>
      </c>
      <c r="D3" s="5"/>
      <c r="E3" s="5"/>
      <c r="F3" s="5">
        <v>2100</v>
      </c>
      <c r="G3" s="5">
        <v>1900</v>
      </c>
      <c r="H3" s="5"/>
      <c r="I3" s="5"/>
      <c r="J3" s="5">
        <v>5800</v>
      </c>
      <c r="K3" s="5">
        <v>1900</v>
      </c>
      <c r="L3" s="5"/>
      <c r="M3" s="5"/>
      <c r="N3" s="5">
        <v>5500</v>
      </c>
      <c r="O3" s="5">
        <v>2000</v>
      </c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</row>
    <row r="4" spans="2:34" x14ac:dyDescent="0.3">
      <c r="B4" s="244"/>
      <c r="C4" s="5" t="s">
        <v>1</v>
      </c>
      <c r="D4" s="5"/>
      <c r="E4" s="5"/>
      <c r="F4" s="5"/>
      <c r="G4" s="5"/>
      <c r="H4" s="5"/>
      <c r="I4" s="5"/>
      <c r="J4" s="5">
        <v>0</v>
      </c>
      <c r="K4" s="5"/>
      <c r="L4" s="5"/>
      <c r="M4" s="5"/>
      <c r="N4" s="5">
        <v>0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</row>
    <row r="5" spans="2:34" x14ac:dyDescent="0.3">
      <c r="B5" s="244"/>
      <c r="C5" s="5" t="s">
        <v>2</v>
      </c>
      <c r="D5" s="5"/>
      <c r="E5" s="5"/>
      <c r="F5" s="5"/>
      <c r="G5" s="5"/>
      <c r="H5" s="5"/>
      <c r="I5" s="5"/>
      <c r="J5" s="5">
        <v>0</v>
      </c>
      <c r="K5" s="5"/>
      <c r="L5" s="5"/>
      <c r="M5" s="5"/>
      <c r="N5" s="5">
        <v>0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</row>
    <row r="6" spans="2:34" x14ac:dyDescent="0.3">
      <c r="B6" s="244"/>
      <c r="C6" s="5" t="s">
        <v>3</v>
      </c>
      <c r="D6" s="5"/>
      <c r="E6" s="5"/>
      <c r="F6" s="5"/>
      <c r="G6" s="5"/>
      <c r="H6" s="5"/>
      <c r="I6" s="5"/>
      <c r="J6" s="5">
        <v>0</v>
      </c>
      <c r="K6" s="5"/>
      <c r="L6" s="5"/>
      <c r="M6" s="5"/>
      <c r="N6" s="5">
        <v>0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</row>
    <row r="7" spans="2:34" x14ac:dyDescent="0.3">
      <c r="B7" s="244"/>
      <c r="C7" s="5" t="s">
        <v>9</v>
      </c>
      <c r="D7" s="5">
        <f>SUM(D3:D6)</f>
        <v>0</v>
      </c>
      <c r="E7" s="5">
        <f t="shared" ref="E7:AH7" si="0">SUM(E3:E6)</f>
        <v>0</v>
      </c>
      <c r="F7" s="5">
        <f t="shared" si="0"/>
        <v>2100</v>
      </c>
      <c r="G7" s="5">
        <f t="shared" si="0"/>
        <v>1900</v>
      </c>
      <c r="H7" s="5">
        <f t="shared" si="0"/>
        <v>0</v>
      </c>
      <c r="I7" s="5">
        <f t="shared" si="0"/>
        <v>0</v>
      </c>
      <c r="J7" s="5">
        <f t="shared" si="0"/>
        <v>5800</v>
      </c>
      <c r="K7" s="5">
        <f t="shared" si="0"/>
        <v>1900</v>
      </c>
      <c r="L7" s="5">
        <f t="shared" si="0"/>
        <v>0</v>
      </c>
      <c r="M7" s="5">
        <f t="shared" si="0"/>
        <v>0</v>
      </c>
      <c r="N7" s="5">
        <f t="shared" si="0"/>
        <v>5500</v>
      </c>
      <c r="O7" s="5">
        <f t="shared" si="0"/>
        <v>2000</v>
      </c>
      <c r="P7" s="5">
        <f t="shared" si="0"/>
        <v>0</v>
      </c>
      <c r="Q7" s="5">
        <f t="shared" si="0"/>
        <v>0</v>
      </c>
      <c r="R7" s="5">
        <f t="shared" si="0"/>
        <v>0</v>
      </c>
      <c r="S7" s="5">
        <f t="shared" si="0"/>
        <v>0</v>
      </c>
      <c r="T7" s="5">
        <f t="shared" si="0"/>
        <v>0</v>
      </c>
      <c r="U7" s="5">
        <f t="shared" si="0"/>
        <v>0</v>
      </c>
      <c r="V7" s="5">
        <f t="shared" si="0"/>
        <v>0</v>
      </c>
      <c r="W7" s="5">
        <f t="shared" si="0"/>
        <v>0</v>
      </c>
      <c r="X7" s="5">
        <f t="shared" si="0"/>
        <v>0</v>
      </c>
      <c r="Y7" s="5">
        <f t="shared" si="0"/>
        <v>0</v>
      </c>
      <c r="Z7" s="5">
        <f t="shared" si="0"/>
        <v>0</v>
      </c>
      <c r="AA7" s="5">
        <f t="shared" si="0"/>
        <v>0</v>
      </c>
      <c r="AB7" s="5">
        <f t="shared" si="0"/>
        <v>0</v>
      </c>
      <c r="AC7" s="5">
        <f t="shared" si="0"/>
        <v>0</v>
      </c>
      <c r="AD7" s="5">
        <f t="shared" si="0"/>
        <v>0</v>
      </c>
      <c r="AE7" s="5">
        <f t="shared" si="0"/>
        <v>0</v>
      </c>
      <c r="AF7" s="5">
        <f t="shared" si="0"/>
        <v>0</v>
      </c>
      <c r="AG7" s="5">
        <f t="shared" si="0"/>
        <v>0</v>
      </c>
      <c r="AH7" s="5">
        <f t="shared" si="0"/>
        <v>0</v>
      </c>
    </row>
    <row r="8" spans="2:34" x14ac:dyDescent="0.3">
      <c r="B8" s="244" t="s">
        <v>23</v>
      </c>
      <c r="C8" s="5" t="s">
        <v>0</v>
      </c>
      <c r="D8" s="5"/>
      <c r="E8" s="5"/>
      <c r="F8" s="5">
        <v>2100</v>
      </c>
      <c r="G8" s="5">
        <v>1900</v>
      </c>
      <c r="H8" s="5"/>
      <c r="I8" s="5"/>
      <c r="J8" s="5">
        <v>5800</v>
      </c>
      <c r="K8" s="5">
        <v>1900</v>
      </c>
      <c r="L8" s="5"/>
      <c r="M8" s="5"/>
      <c r="N8" s="5">
        <v>5500</v>
      </c>
      <c r="O8" s="5">
        <v>2000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</row>
    <row r="9" spans="2:34" x14ac:dyDescent="0.3">
      <c r="B9" s="244"/>
      <c r="C9" s="5" t="s">
        <v>1</v>
      </c>
      <c r="D9" s="5"/>
      <c r="E9" s="5"/>
      <c r="F9" s="5"/>
      <c r="G9" s="5"/>
      <c r="H9" s="5"/>
      <c r="I9" s="5"/>
      <c r="J9" s="5">
        <v>0</v>
      </c>
      <c r="K9" s="5"/>
      <c r="L9" s="5"/>
      <c r="M9" s="5"/>
      <c r="N9" s="5">
        <v>0</v>
      </c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</row>
    <row r="10" spans="2:34" x14ac:dyDescent="0.3">
      <c r="B10" s="244"/>
      <c r="C10" s="5" t="s">
        <v>2</v>
      </c>
      <c r="D10" s="5"/>
      <c r="E10" s="5"/>
      <c r="F10" s="5"/>
      <c r="G10" s="5"/>
      <c r="H10" s="5"/>
      <c r="I10" s="5"/>
      <c r="J10" s="5">
        <v>0</v>
      </c>
      <c r="K10" s="5"/>
      <c r="L10" s="5"/>
      <c r="M10" s="5"/>
      <c r="N10" s="5">
        <v>0</v>
      </c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</row>
    <row r="11" spans="2:34" x14ac:dyDescent="0.3">
      <c r="B11" s="244"/>
      <c r="C11" s="5" t="s">
        <v>3</v>
      </c>
      <c r="D11" s="5"/>
      <c r="E11" s="5"/>
      <c r="F11" s="5"/>
      <c r="G11" s="5"/>
      <c r="H11" s="5"/>
      <c r="I11" s="5"/>
      <c r="J11" s="5">
        <v>0</v>
      </c>
      <c r="K11" s="5"/>
      <c r="L11" s="5"/>
      <c r="M11" s="5"/>
      <c r="N11" s="5">
        <v>0</v>
      </c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</row>
    <row r="12" spans="2:34" x14ac:dyDescent="0.3">
      <c r="B12" s="244"/>
      <c r="C12" s="5" t="s">
        <v>9</v>
      </c>
      <c r="D12" s="5">
        <f t="shared" ref="D12:AH12" si="1">SUM(D8:D11)</f>
        <v>0</v>
      </c>
      <c r="E12" s="5">
        <f t="shared" si="1"/>
        <v>0</v>
      </c>
      <c r="F12" s="5">
        <f t="shared" si="1"/>
        <v>2100</v>
      </c>
      <c r="G12" s="5">
        <f t="shared" si="1"/>
        <v>1900</v>
      </c>
      <c r="H12" s="5">
        <f t="shared" si="1"/>
        <v>0</v>
      </c>
      <c r="I12" s="5">
        <f t="shared" si="1"/>
        <v>0</v>
      </c>
      <c r="J12" s="5">
        <f t="shared" si="1"/>
        <v>5800</v>
      </c>
      <c r="K12" s="5">
        <f t="shared" si="1"/>
        <v>1900</v>
      </c>
      <c r="L12" s="5">
        <f t="shared" si="1"/>
        <v>0</v>
      </c>
      <c r="M12" s="5">
        <f t="shared" si="1"/>
        <v>0</v>
      </c>
      <c r="N12" s="5">
        <f t="shared" si="1"/>
        <v>5500</v>
      </c>
      <c r="O12" s="5">
        <f t="shared" si="1"/>
        <v>2000</v>
      </c>
      <c r="P12" s="5">
        <f t="shared" si="1"/>
        <v>0</v>
      </c>
      <c r="Q12" s="5">
        <f t="shared" si="1"/>
        <v>0</v>
      </c>
      <c r="R12" s="5">
        <f t="shared" si="1"/>
        <v>0</v>
      </c>
      <c r="S12" s="5">
        <f t="shared" si="1"/>
        <v>0</v>
      </c>
      <c r="T12" s="5">
        <f t="shared" si="1"/>
        <v>0</v>
      </c>
      <c r="U12" s="5">
        <f t="shared" si="1"/>
        <v>0</v>
      </c>
      <c r="V12" s="5">
        <f t="shared" si="1"/>
        <v>0</v>
      </c>
      <c r="W12" s="5">
        <f t="shared" si="1"/>
        <v>0</v>
      </c>
      <c r="X12" s="5">
        <f t="shared" si="1"/>
        <v>0</v>
      </c>
      <c r="Y12" s="5">
        <f t="shared" si="1"/>
        <v>0</v>
      </c>
      <c r="Z12" s="5">
        <f t="shared" si="1"/>
        <v>0</v>
      </c>
      <c r="AA12" s="5">
        <f t="shared" si="1"/>
        <v>0</v>
      </c>
      <c r="AB12" s="5">
        <f t="shared" si="1"/>
        <v>0</v>
      </c>
      <c r="AC12" s="5">
        <f t="shared" si="1"/>
        <v>0</v>
      </c>
      <c r="AD12" s="5">
        <f t="shared" si="1"/>
        <v>0</v>
      </c>
      <c r="AE12" s="5">
        <f t="shared" si="1"/>
        <v>0</v>
      </c>
      <c r="AF12" s="5">
        <f t="shared" si="1"/>
        <v>0</v>
      </c>
      <c r="AG12" s="5">
        <f t="shared" si="1"/>
        <v>0</v>
      </c>
      <c r="AH12" s="5">
        <f t="shared" si="1"/>
        <v>0</v>
      </c>
    </row>
    <row r="13" spans="2:34" x14ac:dyDescent="0.3">
      <c r="B13" s="244" t="s">
        <v>36</v>
      </c>
      <c r="C13" s="5" t="s">
        <v>0</v>
      </c>
      <c r="D13" s="5">
        <f>'Исходные данные'!$E16/'Исходные данные'!$J$4</f>
        <v>1156.6666666666667</v>
      </c>
      <c r="E13" s="5">
        <f>'Исходные данные'!$E16/'Исходные данные'!$J$4</f>
        <v>1156.6666666666667</v>
      </c>
      <c r="F13" s="5">
        <f>'Исходные данные'!$E16/'Исходные данные'!$J$4</f>
        <v>1156.6666666666667</v>
      </c>
      <c r="G13" s="5">
        <f>'Исходные данные'!$E16/'Исходные данные'!$J$4</f>
        <v>1156.6666666666667</v>
      </c>
      <c r="H13" s="5">
        <f>'Исходные данные'!$E16/'Исходные данные'!$J$4</f>
        <v>1156.6666666666667</v>
      </c>
      <c r="I13" s="5">
        <f>'Исходные данные'!$E16/'Исходные данные'!$J$4</f>
        <v>1156.6666666666667</v>
      </c>
      <c r="J13" s="5">
        <f>'Исходные данные'!$E16/'Исходные данные'!$J$4</f>
        <v>1156.6666666666667</v>
      </c>
      <c r="K13" s="5">
        <f>'Исходные данные'!$E16/'Исходные данные'!$J$4</f>
        <v>1156.6666666666667</v>
      </c>
      <c r="L13" s="5">
        <f>'Исходные данные'!$E16/'Исходные данные'!$J$4</f>
        <v>1156.6666666666667</v>
      </c>
      <c r="M13" s="5">
        <f>'Исходные данные'!$E16/'Исходные данные'!$J$4</f>
        <v>1156.6666666666667</v>
      </c>
      <c r="N13" s="5">
        <f>'Исходные данные'!$E16/'Исходные данные'!$J$4</f>
        <v>1156.6666666666667</v>
      </c>
      <c r="O13" s="5">
        <f>'Исходные данные'!$E16/'Исходные данные'!$J$4</f>
        <v>1156.6666666666667</v>
      </c>
      <c r="P13" s="5">
        <f>'Исходные данные'!$E16/'Исходные данные'!$J$4</f>
        <v>1156.6666666666667</v>
      </c>
      <c r="Q13" s="5">
        <f>'Исходные данные'!$E16/'Исходные данные'!$J$4</f>
        <v>1156.6666666666667</v>
      </c>
      <c r="R13" s="5">
        <f>'Исходные данные'!$E16/'Исходные данные'!$J$4</f>
        <v>1156.6666666666667</v>
      </c>
      <c r="S13" s="5">
        <f>'Исходные данные'!$E16/'Исходные данные'!$J$4</f>
        <v>1156.6666666666667</v>
      </c>
      <c r="T13" s="5">
        <f>'Исходные данные'!$E16/'Исходные данные'!$J$4</f>
        <v>1156.6666666666667</v>
      </c>
      <c r="U13" s="5">
        <f>'Исходные данные'!$E16/'Исходные данные'!$J$4</f>
        <v>1156.6666666666667</v>
      </c>
      <c r="V13" s="5">
        <f>'Исходные данные'!$E16/'Исходные данные'!$J$4</f>
        <v>1156.6666666666667</v>
      </c>
      <c r="W13" s="5">
        <f>'Исходные данные'!$E16/'Исходные данные'!$J$4</f>
        <v>1156.6666666666667</v>
      </c>
      <c r="X13" s="5">
        <f>'Исходные данные'!$E16/'Исходные данные'!$J$4</f>
        <v>1156.6666666666667</v>
      </c>
      <c r="Y13" s="5">
        <f>'Исходные данные'!$E16/'Исходные данные'!$J$4</f>
        <v>1156.6666666666667</v>
      </c>
      <c r="Z13" s="5">
        <f>'Исходные данные'!$E16/'Исходные данные'!$J$4</f>
        <v>1156.6666666666667</v>
      </c>
      <c r="AA13" s="5">
        <f>'Исходные данные'!$E16/'Исходные данные'!$J$4</f>
        <v>1156.6666666666667</v>
      </c>
      <c r="AB13" s="5">
        <f>'Исходные данные'!$E16/'Исходные данные'!$J$4</f>
        <v>1156.6666666666667</v>
      </c>
      <c r="AC13" s="5">
        <f>'Исходные данные'!$E16/'Исходные данные'!$J$4</f>
        <v>1156.6666666666667</v>
      </c>
      <c r="AD13" s="5">
        <f>'Исходные данные'!$E16/'Исходные данные'!$J$4</f>
        <v>1156.6666666666667</v>
      </c>
      <c r="AE13" s="5">
        <f>'Исходные данные'!$E16/'Исходные данные'!$J$4</f>
        <v>1156.6666666666667</v>
      </c>
      <c r="AF13" s="5">
        <f>'Исходные данные'!$E16/'Исходные данные'!$J$4</f>
        <v>1156.6666666666667</v>
      </c>
      <c r="AG13" s="5">
        <f>'Исходные данные'!$E16/'Исходные данные'!$J$4</f>
        <v>1156.6666666666667</v>
      </c>
      <c r="AH13" s="5">
        <f>'Исходные данные'!$E16/'Исходные данные'!$J$4</f>
        <v>1156.6666666666667</v>
      </c>
    </row>
    <row r="14" spans="2:34" x14ac:dyDescent="0.3">
      <c r="B14" s="244"/>
      <c r="C14" s="5" t="s">
        <v>1</v>
      </c>
      <c r="D14" s="5">
        <f>'Исходные данные'!$E17/'Исходные данные'!$J$4</f>
        <v>0</v>
      </c>
      <c r="E14" s="5">
        <f>'Исходные данные'!$E17/'Исходные данные'!$J$4</f>
        <v>0</v>
      </c>
      <c r="F14" s="5">
        <f>'Исходные данные'!$E17/'Исходные данные'!$J$4</f>
        <v>0</v>
      </c>
      <c r="G14" s="5">
        <f>'Исходные данные'!$E17/'Исходные данные'!$J$4</f>
        <v>0</v>
      </c>
      <c r="H14" s="5">
        <f>'Исходные данные'!$E17/'Исходные данные'!$J$4</f>
        <v>0</v>
      </c>
      <c r="I14" s="5">
        <f>'Исходные данные'!$E17/'Исходные данные'!$J$4</f>
        <v>0</v>
      </c>
      <c r="J14" s="5">
        <f>'Исходные данные'!$E17/'Исходные данные'!$J$4</f>
        <v>0</v>
      </c>
      <c r="K14" s="5">
        <f>'Исходные данные'!$E17/'Исходные данные'!$J$4</f>
        <v>0</v>
      </c>
      <c r="L14" s="5">
        <f>'Исходные данные'!$E17/'Исходные данные'!$J$4</f>
        <v>0</v>
      </c>
      <c r="M14" s="5">
        <f>'Исходные данные'!$E17/'Исходные данные'!$J$4</f>
        <v>0</v>
      </c>
      <c r="N14" s="5">
        <f>'Исходные данные'!$E17/'Исходные данные'!$J$4</f>
        <v>0</v>
      </c>
      <c r="O14" s="5">
        <f>'Исходные данные'!$E17/'Исходные данные'!$J$4</f>
        <v>0</v>
      </c>
      <c r="P14" s="5">
        <f>'Исходные данные'!$E17/'Исходные данные'!$J$4</f>
        <v>0</v>
      </c>
      <c r="Q14" s="5">
        <f>'Исходные данные'!$E17/'Исходные данные'!$J$4</f>
        <v>0</v>
      </c>
      <c r="R14" s="5">
        <f>'Исходные данные'!$E17/'Исходные данные'!$J$4</f>
        <v>0</v>
      </c>
      <c r="S14" s="5">
        <f>'Исходные данные'!$E17/'Исходные данные'!$J$4</f>
        <v>0</v>
      </c>
      <c r="T14" s="5">
        <f>'Исходные данные'!$E17/'Исходные данные'!$J$4</f>
        <v>0</v>
      </c>
      <c r="U14" s="5">
        <f>'Исходные данные'!$E17/'Исходные данные'!$J$4</f>
        <v>0</v>
      </c>
      <c r="V14" s="5">
        <f>'Исходные данные'!$E17/'Исходные данные'!$J$4</f>
        <v>0</v>
      </c>
      <c r="W14" s="5">
        <f>'Исходные данные'!$E17/'Исходные данные'!$J$4</f>
        <v>0</v>
      </c>
      <c r="X14" s="5">
        <f>'Исходные данные'!$E17/'Исходные данные'!$J$4</f>
        <v>0</v>
      </c>
      <c r="Y14" s="5">
        <f>'Исходные данные'!$E17/'Исходные данные'!$J$4</f>
        <v>0</v>
      </c>
      <c r="Z14" s="5">
        <f>'Исходные данные'!$E17/'Исходные данные'!$J$4</f>
        <v>0</v>
      </c>
      <c r="AA14" s="5">
        <f>'Исходные данные'!$E17/'Исходные данные'!$J$4</f>
        <v>0</v>
      </c>
      <c r="AB14" s="5">
        <f>'Исходные данные'!$E17/'Исходные данные'!$J$4</f>
        <v>0</v>
      </c>
      <c r="AC14" s="5">
        <f>'Исходные данные'!$E17/'Исходные данные'!$J$4</f>
        <v>0</v>
      </c>
      <c r="AD14" s="5">
        <f>'Исходные данные'!$E17/'Исходные данные'!$J$4</f>
        <v>0</v>
      </c>
      <c r="AE14" s="5">
        <f>'Исходные данные'!$E17/'Исходные данные'!$J$4</f>
        <v>0</v>
      </c>
      <c r="AF14" s="5">
        <f>'Исходные данные'!$E17/'Исходные данные'!$J$4</f>
        <v>0</v>
      </c>
      <c r="AG14" s="5">
        <f>'Исходные данные'!$E17/'Исходные данные'!$J$4</f>
        <v>0</v>
      </c>
      <c r="AH14" s="5">
        <f>'Исходные данные'!$E17/'Исходные данные'!$J$4</f>
        <v>0</v>
      </c>
    </row>
    <row r="15" spans="2:34" x14ac:dyDescent="0.3">
      <c r="B15" s="244"/>
      <c r="C15" s="5" t="s">
        <v>2</v>
      </c>
      <c r="D15" s="5">
        <f>'Исходные данные'!$E18/'Исходные данные'!$J$4</f>
        <v>0</v>
      </c>
      <c r="E15" s="5">
        <f>'Исходные данные'!$E18/'Исходные данные'!$J$4</f>
        <v>0</v>
      </c>
      <c r="F15" s="5">
        <f>'Исходные данные'!$E18/'Исходные данные'!$J$4</f>
        <v>0</v>
      </c>
      <c r="G15" s="5">
        <f>'Исходные данные'!$E18/'Исходные данные'!$J$4</f>
        <v>0</v>
      </c>
      <c r="H15" s="5">
        <f>'Исходные данные'!$E18/'Исходные данные'!$J$4</f>
        <v>0</v>
      </c>
      <c r="I15" s="5">
        <f>'Исходные данные'!$E18/'Исходные данные'!$J$4</f>
        <v>0</v>
      </c>
      <c r="J15" s="5">
        <f>'Исходные данные'!$E18/'Исходные данные'!$J$4</f>
        <v>0</v>
      </c>
      <c r="K15" s="5">
        <f>'Исходные данные'!$E18/'Исходные данные'!$J$4</f>
        <v>0</v>
      </c>
      <c r="L15" s="5">
        <f>'Исходные данные'!$E18/'Исходные данные'!$J$4</f>
        <v>0</v>
      </c>
      <c r="M15" s="5">
        <f>'Исходные данные'!$E18/'Исходные данные'!$J$4</f>
        <v>0</v>
      </c>
      <c r="N15" s="5">
        <f>'Исходные данные'!$E18/'Исходные данные'!$J$4</f>
        <v>0</v>
      </c>
      <c r="O15" s="5">
        <f>'Исходные данные'!$E18/'Исходные данные'!$J$4</f>
        <v>0</v>
      </c>
      <c r="P15" s="5">
        <f>'Исходные данные'!$E18/'Исходные данные'!$J$4</f>
        <v>0</v>
      </c>
      <c r="Q15" s="5">
        <f>'Исходные данные'!$E18/'Исходные данные'!$J$4</f>
        <v>0</v>
      </c>
      <c r="R15" s="5">
        <f>'Исходные данные'!$E18/'Исходные данные'!$J$4</f>
        <v>0</v>
      </c>
      <c r="S15" s="5">
        <f>'Исходные данные'!$E18/'Исходные данные'!$J$4</f>
        <v>0</v>
      </c>
      <c r="T15" s="5">
        <f>'Исходные данные'!$E18/'Исходные данные'!$J$4</f>
        <v>0</v>
      </c>
      <c r="U15" s="5">
        <f>'Исходные данные'!$E18/'Исходные данные'!$J$4</f>
        <v>0</v>
      </c>
      <c r="V15" s="5">
        <f>'Исходные данные'!$E18/'Исходные данные'!$J$4</f>
        <v>0</v>
      </c>
      <c r="W15" s="5">
        <f>'Исходные данные'!$E18/'Исходные данные'!$J$4</f>
        <v>0</v>
      </c>
      <c r="X15" s="5">
        <f>'Исходные данные'!$E18/'Исходные данные'!$J$4</f>
        <v>0</v>
      </c>
      <c r="Y15" s="5">
        <f>'Исходные данные'!$E18/'Исходные данные'!$J$4</f>
        <v>0</v>
      </c>
      <c r="Z15" s="5">
        <f>'Исходные данные'!$E18/'Исходные данные'!$J$4</f>
        <v>0</v>
      </c>
      <c r="AA15" s="5">
        <f>'Исходные данные'!$E18/'Исходные данные'!$J$4</f>
        <v>0</v>
      </c>
      <c r="AB15" s="5">
        <f>'Исходные данные'!$E18/'Исходные данные'!$J$4</f>
        <v>0</v>
      </c>
      <c r="AC15" s="5">
        <f>'Исходные данные'!$E18/'Исходные данные'!$J$4</f>
        <v>0</v>
      </c>
      <c r="AD15" s="5">
        <f>'Исходные данные'!$E18/'Исходные данные'!$J$4</f>
        <v>0</v>
      </c>
      <c r="AE15" s="5">
        <f>'Исходные данные'!$E18/'Исходные данные'!$J$4</f>
        <v>0</v>
      </c>
      <c r="AF15" s="5">
        <f>'Исходные данные'!$E18/'Исходные данные'!$J$4</f>
        <v>0</v>
      </c>
      <c r="AG15" s="5">
        <f>'Исходные данные'!$E18/'Исходные данные'!$J$4</f>
        <v>0</v>
      </c>
      <c r="AH15" s="5">
        <f>'Исходные данные'!$E18/'Исходные данные'!$J$4</f>
        <v>0</v>
      </c>
    </row>
    <row r="16" spans="2:34" x14ac:dyDescent="0.3">
      <c r="B16" s="244"/>
      <c r="C16" s="5" t="s">
        <v>3</v>
      </c>
      <c r="D16" s="5">
        <f>'Исходные данные'!$E19/'Исходные данные'!$J$4</f>
        <v>0</v>
      </c>
      <c r="E16" s="5">
        <f>'Исходные данные'!$E19/'Исходные данные'!$J$4</f>
        <v>0</v>
      </c>
      <c r="F16" s="5">
        <f>'Исходные данные'!$E19/'Исходные данные'!$J$4</f>
        <v>0</v>
      </c>
      <c r="G16" s="5">
        <f>'Исходные данные'!$E19/'Исходные данные'!$J$4</f>
        <v>0</v>
      </c>
      <c r="H16" s="5">
        <f>'Исходные данные'!$E19/'Исходные данные'!$J$4</f>
        <v>0</v>
      </c>
      <c r="I16" s="5">
        <f>'Исходные данные'!$E19/'Исходные данные'!$J$4</f>
        <v>0</v>
      </c>
      <c r="J16" s="5">
        <f>'Исходные данные'!$E19/'Исходные данные'!$J$4</f>
        <v>0</v>
      </c>
      <c r="K16" s="5">
        <f>'Исходные данные'!$E19/'Исходные данные'!$J$4</f>
        <v>0</v>
      </c>
      <c r="L16" s="5">
        <f>'Исходные данные'!$E19/'Исходные данные'!$J$4</f>
        <v>0</v>
      </c>
      <c r="M16" s="5">
        <f>'Исходные данные'!$E19/'Исходные данные'!$J$4</f>
        <v>0</v>
      </c>
      <c r="N16" s="5">
        <f>'Исходные данные'!$E19/'Исходные данные'!$J$4</f>
        <v>0</v>
      </c>
      <c r="O16" s="5">
        <f>'Исходные данные'!$E19/'Исходные данные'!$J$4</f>
        <v>0</v>
      </c>
      <c r="P16" s="5">
        <f>'Исходные данные'!$E19/'Исходные данные'!$J$4</f>
        <v>0</v>
      </c>
      <c r="Q16" s="5">
        <f>'Исходные данные'!$E19/'Исходные данные'!$J$4</f>
        <v>0</v>
      </c>
      <c r="R16" s="5">
        <f>'Исходные данные'!$E19/'Исходные данные'!$J$4</f>
        <v>0</v>
      </c>
      <c r="S16" s="5">
        <f>'Исходные данные'!$E19/'Исходные данные'!$J$4</f>
        <v>0</v>
      </c>
      <c r="T16" s="5">
        <f>'Исходные данные'!$E19/'Исходные данные'!$J$4</f>
        <v>0</v>
      </c>
      <c r="U16" s="5">
        <f>'Исходные данные'!$E19/'Исходные данные'!$J$4</f>
        <v>0</v>
      </c>
      <c r="V16" s="5">
        <f>'Исходные данные'!$E19/'Исходные данные'!$J$4</f>
        <v>0</v>
      </c>
      <c r="W16" s="5">
        <f>'Исходные данные'!$E19/'Исходные данные'!$J$4</f>
        <v>0</v>
      </c>
      <c r="X16" s="5">
        <f>'Исходные данные'!$E19/'Исходные данные'!$J$4</f>
        <v>0</v>
      </c>
      <c r="Y16" s="5">
        <f>'Исходные данные'!$E19/'Исходные данные'!$J$4</f>
        <v>0</v>
      </c>
      <c r="Z16" s="5">
        <f>'Исходные данные'!$E19/'Исходные данные'!$J$4</f>
        <v>0</v>
      </c>
      <c r="AA16" s="5">
        <f>'Исходные данные'!$E19/'Исходные данные'!$J$4</f>
        <v>0</v>
      </c>
      <c r="AB16" s="5">
        <f>'Исходные данные'!$E19/'Исходные данные'!$J$4</f>
        <v>0</v>
      </c>
      <c r="AC16" s="5">
        <f>'Исходные данные'!$E19/'Исходные данные'!$J$4</f>
        <v>0</v>
      </c>
      <c r="AD16" s="5">
        <f>'Исходные данные'!$E19/'Исходные данные'!$J$4</f>
        <v>0</v>
      </c>
      <c r="AE16" s="5">
        <f>'Исходные данные'!$E19/'Исходные данные'!$J$4</f>
        <v>0</v>
      </c>
      <c r="AF16" s="5">
        <f>'Исходные данные'!$E19/'Исходные данные'!$J$4</f>
        <v>0</v>
      </c>
      <c r="AG16" s="5">
        <f>'Исходные данные'!$E19/'Исходные данные'!$J$4</f>
        <v>0</v>
      </c>
      <c r="AH16" s="5">
        <f>'Исходные данные'!$E19/'Исходные данные'!$J$4</f>
        <v>0</v>
      </c>
    </row>
    <row r="17" spans="2:34" x14ac:dyDescent="0.3">
      <c r="B17" s="244"/>
      <c r="C17" s="5" t="s">
        <v>9</v>
      </c>
      <c r="D17" s="5">
        <f>'Исходные данные'!$E20/'Исходные данные'!$J$4</f>
        <v>1156.6666666666667</v>
      </c>
      <c r="E17" s="5">
        <f>'Исходные данные'!$E20/'Исходные данные'!$J$4</f>
        <v>1156.6666666666667</v>
      </c>
      <c r="F17" s="5">
        <f>'Исходные данные'!$E20/'Исходные данные'!$J$4</f>
        <v>1156.6666666666667</v>
      </c>
      <c r="G17" s="5">
        <f>'Исходные данные'!$E20/'Исходные данные'!$J$4</f>
        <v>1156.6666666666667</v>
      </c>
      <c r="H17" s="5">
        <f>'Исходные данные'!$E20/'Исходные данные'!$J$4</f>
        <v>1156.6666666666667</v>
      </c>
      <c r="I17" s="5">
        <f>'Исходные данные'!$E20/'Исходные данные'!$J$4</f>
        <v>1156.6666666666667</v>
      </c>
      <c r="J17" s="5">
        <f>'Исходные данные'!$E20/'Исходные данные'!$J$4</f>
        <v>1156.6666666666667</v>
      </c>
      <c r="K17" s="5">
        <f>'Исходные данные'!$E20/'Исходные данные'!$J$4</f>
        <v>1156.6666666666667</v>
      </c>
      <c r="L17" s="5">
        <f>'Исходные данные'!$E20/'Исходные данные'!$J$4</f>
        <v>1156.6666666666667</v>
      </c>
      <c r="M17" s="5">
        <f>'Исходные данные'!$E20/'Исходные данные'!$J$4</f>
        <v>1156.6666666666667</v>
      </c>
      <c r="N17" s="5">
        <f>'Исходные данные'!$E20/'Исходные данные'!$J$4</f>
        <v>1156.6666666666667</v>
      </c>
      <c r="O17" s="5">
        <f>'Исходные данные'!$E20/'Исходные данные'!$J$4</f>
        <v>1156.6666666666667</v>
      </c>
      <c r="P17" s="5">
        <f>'Исходные данные'!$E20/'Исходные данные'!$J$4</f>
        <v>1156.6666666666667</v>
      </c>
      <c r="Q17" s="5">
        <f>'Исходные данные'!$E20/'Исходные данные'!$J$4</f>
        <v>1156.6666666666667</v>
      </c>
      <c r="R17" s="5">
        <f>'Исходные данные'!$E20/'Исходные данные'!$J$4</f>
        <v>1156.6666666666667</v>
      </c>
      <c r="S17" s="5">
        <f>'Исходные данные'!$E20/'Исходные данные'!$J$4</f>
        <v>1156.6666666666667</v>
      </c>
      <c r="T17" s="5">
        <f>'Исходные данные'!$E20/'Исходные данные'!$J$4</f>
        <v>1156.6666666666667</v>
      </c>
      <c r="U17" s="5">
        <f>'Исходные данные'!$E20/'Исходные данные'!$J$4</f>
        <v>1156.6666666666667</v>
      </c>
      <c r="V17" s="5">
        <f>'Исходные данные'!$E20/'Исходные данные'!$J$4</f>
        <v>1156.6666666666667</v>
      </c>
      <c r="W17" s="5">
        <f>'Исходные данные'!$E20/'Исходные данные'!$J$4</f>
        <v>1156.6666666666667</v>
      </c>
      <c r="X17" s="5">
        <f>'Исходные данные'!$E20/'Исходные данные'!$J$4</f>
        <v>1156.6666666666667</v>
      </c>
      <c r="Y17" s="5">
        <f>'Исходные данные'!$E20/'Исходные данные'!$J$4</f>
        <v>1156.6666666666667</v>
      </c>
      <c r="Z17" s="5">
        <f>'Исходные данные'!$E20/'Исходные данные'!$J$4</f>
        <v>1156.6666666666667</v>
      </c>
      <c r="AA17" s="5">
        <f>'Исходные данные'!$E20/'Исходные данные'!$J$4</f>
        <v>1156.6666666666667</v>
      </c>
      <c r="AB17" s="5">
        <f>'Исходные данные'!$E20/'Исходные данные'!$J$4</f>
        <v>1156.6666666666667</v>
      </c>
      <c r="AC17" s="5">
        <f>'Исходные данные'!$E20/'Исходные данные'!$J$4</f>
        <v>1156.6666666666667</v>
      </c>
      <c r="AD17" s="5">
        <f>'Исходные данные'!$E20/'Исходные данные'!$J$4</f>
        <v>1156.6666666666667</v>
      </c>
      <c r="AE17" s="5">
        <f>'Исходные данные'!$E20/'Исходные данные'!$J$4</f>
        <v>1156.6666666666667</v>
      </c>
      <c r="AF17" s="5">
        <f>'Исходные данные'!$E20/'Исходные данные'!$J$4</f>
        <v>1156.6666666666667</v>
      </c>
      <c r="AG17" s="5">
        <f>'Исходные данные'!$E20/'Исходные данные'!$J$4</f>
        <v>1156.6666666666667</v>
      </c>
      <c r="AH17" s="5">
        <f>'Исходные данные'!$E20/'Исходные данные'!$J$4</f>
        <v>1156.6666666666667</v>
      </c>
    </row>
    <row r="18" spans="2:34" x14ac:dyDescent="0.3">
      <c r="B18" s="244" t="s">
        <v>35</v>
      </c>
      <c r="C18" s="5" t="s">
        <v>0</v>
      </c>
      <c r="D18" s="5"/>
      <c r="E18" s="5"/>
      <c r="F18" s="5">
        <v>3716</v>
      </c>
      <c r="G18" s="5">
        <v>0</v>
      </c>
      <c r="H18" s="5"/>
      <c r="I18" s="5"/>
      <c r="J18" s="5">
        <v>3714</v>
      </c>
      <c r="K18" s="5">
        <v>0</v>
      </c>
      <c r="L18" s="5"/>
      <c r="M18" s="5"/>
      <c r="N18" s="5">
        <v>11041.099999999999</v>
      </c>
      <c r="O18" s="5">
        <v>0</v>
      </c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</row>
    <row r="19" spans="2:34" x14ac:dyDescent="0.3">
      <c r="B19" s="244"/>
      <c r="C19" s="5" t="s">
        <v>1</v>
      </c>
      <c r="D19" s="5"/>
      <c r="E19" s="5"/>
      <c r="F19" s="5"/>
      <c r="G19" s="5"/>
      <c r="H19" s="5"/>
      <c r="I19" s="5"/>
      <c r="J19" s="5">
        <v>0</v>
      </c>
      <c r="K19" s="5"/>
      <c r="L19" s="5"/>
      <c r="M19" s="5"/>
      <c r="N19" s="5">
        <v>0</v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</row>
    <row r="20" spans="2:34" x14ac:dyDescent="0.3">
      <c r="B20" s="244"/>
      <c r="C20" s="5" t="s">
        <v>2</v>
      </c>
      <c r="D20" s="5"/>
      <c r="E20" s="5"/>
      <c r="F20" s="5"/>
      <c r="G20" s="5"/>
      <c r="H20" s="5"/>
      <c r="I20" s="5"/>
      <c r="J20" s="5">
        <v>0</v>
      </c>
      <c r="K20" s="5"/>
      <c r="L20" s="5"/>
      <c r="M20" s="5"/>
      <c r="N20" s="5">
        <v>0</v>
      </c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</row>
    <row r="21" spans="2:34" x14ac:dyDescent="0.3">
      <c r="B21" s="244"/>
      <c r="C21" s="5" t="s">
        <v>3</v>
      </c>
      <c r="D21" s="5"/>
      <c r="E21" s="5"/>
      <c r="F21" s="5"/>
      <c r="G21" s="5"/>
      <c r="H21" s="5"/>
      <c r="I21" s="5"/>
      <c r="J21" s="5">
        <v>0</v>
      </c>
      <c r="K21" s="5"/>
      <c r="L21" s="5"/>
      <c r="M21" s="5"/>
      <c r="N21" s="5">
        <v>0</v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</row>
    <row r="22" spans="2:34" x14ac:dyDescent="0.3">
      <c r="B22" s="244"/>
      <c r="C22" s="5" t="s">
        <v>9</v>
      </c>
      <c r="D22" s="5">
        <f t="shared" ref="D22:AH22" si="2">SUM(D18:D21)</f>
        <v>0</v>
      </c>
      <c r="E22" s="5">
        <f t="shared" si="2"/>
        <v>0</v>
      </c>
      <c r="F22" s="5">
        <f t="shared" si="2"/>
        <v>3716</v>
      </c>
      <c r="G22" s="5">
        <f t="shared" si="2"/>
        <v>0</v>
      </c>
      <c r="H22" s="5">
        <f t="shared" si="2"/>
        <v>0</v>
      </c>
      <c r="I22" s="5">
        <f t="shared" si="2"/>
        <v>0</v>
      </c>
      <c r="J22" s="5">
        <f t="shared" si="2"/>
        <v>3714</v>
      </c>
      <c r="K22" s="5">
        <f t="shared" si="2"/>
        <v>0</v>
      </c>
      <c r="L22" s="5">
        <f t="shared" si="2"/>
        <v>0</v>
      </c>
      <c r="M22" s="5">
        <f t="shared" si="2"/>
        <v>0</v>
      </c>
      <c r="N22" s="5">
        <f t="shared" si="2"/>
        <v>11041.099999999999</v>
      </c>
      <c r="O22" s="5">
        <f t="shared" si="2"/>
        <v>0</v>
      </c>
      <c r="P22" s="5">
        <f t="shared" si="2"/>
        <v>0</v>
      </c>
      <c r="Q22" s="5">
        <f t="shared" si="2"/>
        <v>0</v>
      </c>
      <c r="R22" s="5">
        <f t="shared" si="2"/>
        <v>0</v>
      </c>
      <c r="S22" s="5">
        <f t="shared" si="2"/>
        <v>0</v>
      </c>
      <c r="T22" s="5">
        <f t="shared" si="2"/>
        <v>0</v>
      </c>
      <c r="U22" s="5">
        <f t="shared" si="2"/>
        <v>0</v>
      </c>
      <c r="V22" s="5">
        <f t="shared" si="2"/>
        <v>0</v>
      </c>
      <c r="W22" s="5">
        <f t="shared" si="2"/>
        <v>0</v>
      </c>
      <c r="X22" s="5">
        <f t="shared" si="2"/>
        <v>0</v>
      </c>
      <c r="Y22" s="5">
        <f t="shared" si="2"/>
        <v>0</v>
      </c>
      <c r="Z22" s="5">
        <f t="shared" si="2"/>
        <v>0</v>
      </c>
      <c r="AA22" s="5">
        <f t="shared" si="2"/>
        <v>0</v>
      </c>
      <c r="AB22" s="5">
        <f t="shared" si="2"/>
        <v>0</v>
      </c>
      <c r="AC22" s="5">
        <f t="shared" si="2"/>
        <v>0</v>
      </c>
      <c r="AD22" s="5">
        <f t="shared" si="2"/>
        <v>0</v>
      </c>
      <c r="AE22" s="5">
        <f t="shared" si="2"/>
        <v>0</v>
      </c>
      <c r="AF22" s="5">
        <f t="shared" si="2"/>
        <v>0</v>
      </c>
      <c r="AG22" s="5">
        <f t="shared" si="2"/>
        <v>0</v>
      </c>
      <c r="AH22" s="5">
        <f t="shared" si="2"/>
        <v>0</v>
      </c>
    </row>
    <row r="23" spans="2:34" x14ac:dyDescent="0.3">
      <c r="B23" s="248" t="s">
        <v>60</v>
      </c>
      <c r="C23" s="249"/>
      <c r="D23" s="5"/>
      <c r="E23" s="5"/>
      <c r="F23" s="5">
        <v>58</v>
      </c>
      <c r="G23" s="5">
        <v>58</v>
      </c>
      <c r="H23" s="5"/>
      <c r="I23" s="5"/>
      <c r="J23" s="5">
        <v>58</v>
      </c>
      <c r="K23" s="5">
        <v>58</v>
      </c>
      <c r="L23" s="5"/>
      <c r="M23" s="5"/>
      <c r="N23" s="5">
        <v>58</v>
      </c>
      <c r="O23" s="5">
        <v>58</v>
      </c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</row>
    <row r="24" spans="2:34" x14ac:dyDescent="0.3">
      <c r="B24" s="245" t="s">
        <v>24</v>
      </c>
      <c r="C24" s="245"/>
      <c r="D24" s="5"/>
      <c r="E24" s="5"/>
      <c r="F24" s="5">
        <v>187</v>
      </c>
      <c r="G24" s="5">
        <v>0</v>
      </c>
      <c r="H24" s="5"/>
      <c r="I24" s="5"/>
      <c r="J24" s="5">
        <v>263</v>
      </c>
      <c r="K24" s="5">
        <v>164</v>
      </c>
      <c r="L24" s="5"/>
      <c r="M24" s="5"/>
      <c r="N24" s="5">
        <v>262</v>
      </c>
      <c r="O24" s="5">
        <v>94</v>
      </c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</row>
    <row r="25" spans="2:34" ht="13.95" customHeight="1" x14ac:dyDescent="0.3">
      <c r="B25" s="246" t="s">
        <v>26</v>
      </c>
      <c r="C25" s="247"/>
      <c r="D25" s="5"/>
      <c r="E25" s="5"/>
      <c r="F25" s="5">
        <v>312</v>
      </c>
      <c r="G25" s="5">
        <v>0</v>
      </c>
      <c r="H25" s="5"/>
      <c r="I25" s="5"/>
      <c r="J25" s="5">
        <v>429</v>
      </c>
      <c r="K25" s="5">
        <v>273</v>
      </c>
      <c r="L25" s="5"/>
      <c r="M25" s="5"/>
      <c r="N25" s="5">
        <v>429</v>
      </c>
      <c r="O25" s="5">
        <v>156</v>
      </c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</row>
  </sheetData>
  <mergeCells count="7">
    <mergeCell ref="B25:C25"/>
    <mergeCell ref="B3:B7"/>
    <mergeCell ref="B8:B12"/>
    <mergeCell ref="B13:B17"/>
    <mergeCell ref="B18:B22"/>
    <mergeCell ref="B24:C24"/>
    <mergeCell ref="B23:C2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2:AH25"/>
  <sheetViews>
    <sheetView workbookViewId="0">
      <selection activeCell="O25" sqref="O25:O29"/>
    </sheetView>
  </sheetViews>
  <sheetFormatPr defaultRowHeight="14.4" x14ac:dyDescent="0.3"/>
  <cols>
    <col min="2" max="2" width="4.44140625" customWidth="1"/>
    <col min="3" max="3" width="8.33203125" customWidth="1"/>
    <col min="4" max="34" width="6.6640625" customWidth="1"/>
  </cols>
  <sheetData>
    <row r="2" spans="2:34" x14ac:dyDescent="0.3">
      <c r="B2" s="6" t="s">
        <v>18</v>
      </c>
      <c r="C2" s="6" t="s">
        <v>17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6">
        <v>6</v>
      </c>
      <c r="J2" s="6">
        <v>7</v>
      </c>
      <c r="K2" s="6">
        <v>8</v>
      </c>
      <c r="L2" s="6">
        <v>9</v>
      </c>
      <c r="M2" s="6">
        <v>10</v>
      </c>
      <c r="N2" s="6">
        <v>11</v>
      </c>
      <c r="O2" s="6">
        <v>12</v>
      </c>
      <c r="P2" s="6">
        <v>13</v>
      </c>
      <c r="Q2" s="6">
        <v>14</v>
      </c>
      <c r="R2" s="6">
        <v>15</v>
      </c>
      <c r="S2" s="6">
        <v>16</v>
      </c>
      <c r="T2" s="6">
        <v>17</v>
      </c>
      <c r="U2" s="6">
        <v>18</v>
      </c>
      <c r="V2" s="6">
        <v>19</v>
      </c>
      <c r="W2" s="6">
        <v>20</v>
      </c>
      <c r="X2" s="6">
        <v>21</v>
      </c>
      <c r="Y2" s="6">
        <v>22</v>
      </c>
      <c r="Z2" s="6">
        <v>23</v>
      </c>
      <c r="AA2" s="6">
        <v>24</v>
      </c>
      <c r="AB2" s="6">
        <v>25</v>
      </c>
      <c r="AC2" s="6">
        <v>26</v>
      </c>
      <c r="AD2" s="6">
        <v>27</v>
      </c>
      <c r="AE2" s="6">
        <v>28</v>
      </c>
      <c r="AF2" s="6">
        <v>29</v>
      </c>
      <c r="AG2" s="6">
        <v>30</v>
      </c>
      <c r="AH2" s="6">
        <v>31</v>
      </c>
    </row>
    <row r="3" spans="2:34" ht="15.6" customHeight="1" x14ac:dyDescent="0.3">
      <c r="B3" s="244" t="s">
        <v>22</v>
      </c>
      <c r="C3" s="5" t="s">
        <v>0</v>
      </c>
      <c r="D3" s="5"/>
      <c r="E3" s="5"/>
      <c r="F3" s="5">
        <v>8500</v>
      </c>
      <c r="G3" s="5">
        <v>4300</v>
      </c>
      <c r="H3" s="5"/>
      <c r="I3" s="5"/>
      <c r="J3" s="5">
        <v>12900</v>
      </c>
      <c r="K3" s="5">
        <v>4300</v>
      </c>
      <c r="L3" s="5"/>
      <c r="M3" s="5"/>
      <c r="N3" s="5">
        <v>12800</v>
      </c>
      <c r="O3" s="5">
        <v>4300</v>
      </c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</row>
    <row r="4" spans="2:34" x14ac:dyDescent="0.3">
      <c r="B4" s="244"/>
      <c r="C4" s="5" t="s">
        <v>1</v>
      </c>
      <c r="D4" s="5"/>
      <c r="E4" s="5"/>
      <c r="F4" s="5"/>
      <c r="G4" s="5"/>
      <c r="H4" s="5"/>
      <c r="I4" s="5"/>
      <c r="J4" s="5">
        <v>0</v>
      </c>
      <c r="K4" s="5"/>
      <c r="L4" s="5"/>
      <c r="M4" s="5"/>
      <c r="N4" s="5">
        <v>0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</row>
    <row r="5" spans="2:34" x14ac:dyDescent="0.3">
      <c r="B5" s="244"/>
      <c r="C5" s="5" t="s">
        <v>2</v>
      </c>
      <c r="D5" s="5"/>
      <c r="E5" s="5"/>
      <c r="F5" s="5"/>
      <c r="G5" s="5"/>
      <c r="H5" s="5"/>
      <c r="I5" s="5"/>
      <c r="J5" s="5">
        <v>0</v>
      </c>
      <c r="K5" s="5"/>
      <c r="L5" s="5"/>
      <c r="M5" s="5"/>
      <c r="N5" s="5">
        <v>0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</row>
    <row r="6" spans="2:34" x14ac:dyDescent="0.3">
      <c r="B6" s="244"/>
      <c r="C6" s="5" t="s">
        <v>3</v>
      </c>
      <c r="D6" s="5"/>
      <c r="E6" s="5"/>
      <c r="F6" s="5"/>
      <c r="G6" s="5"/>
      <c r="H6" s="5"/>
      <c r="I6" s="5"/>
      <c r="J6" s="5">
        <v>0</v>
      </c>
      <c r="K6" s="5"/>
      <c r="L6" s="5"/>
      <c r="M6" s="5"/>
      <c r="N6" s="5">
        <v>0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</row>
    <row r="7" spans="2:34" x14ac:dyDescent="0.3">
      <c r="B7" s="244"/>
      <c r="C7" s="5" t="s">
        <v>9</v>
      </c>
      <c r="D7" s="5">
        <f>SUM(D3:D6)</f>
        <v>0</v>
      </c>
      <c r="E7" s="5">
        <f t="shared" ref="E7:AH7" si="0">SUM(E3:E6)</f>
        <v>0</v>
      </c>
      <c r="F7" s="5">
        <f t="shared" si="0"/>
        <v>8500</v>
      </c>
      <c r="G7" s="5">
        <f t="shared" si="0"/>
        <v>4300</v>
      </c>
      <c r="H7" s="5">
        <f t="shared" si="0"/>
        <v>0</v>
      </c>
      <c r="I7" s="5">
        <f t="shared" si="0"/>
        <v>0</v>
      </c>
      <c r="J7" s="5">
        <f t="shared" si="0"/>
        <v>12900</v>
      </c>
      <c r="K7" s="5">
        <f t="shared" si="0"/>
        <v>4300</v>
      </c>
      <c r="L7" s="5">
        <f t="shared" si="0"/>
        <v>0</v>
      </c>
      <c r="M7" s="5">
        <f t="shared" si="0"/>
        <v>0</v>
      </c>
      <c r="N7" s="5">
        <f t="shared" si="0"/>
        <v>12800</v>
      </c>
      <c r="O7" s="5">
        <f t="shared" si="0"/>
        <v>4300</v>
      </c>
      <c r="P7" s="5">
        <f t="shared" si="0"/>
        <v>0</v>
      </c>
      <c r="Q7" s="5">
        <f t="shared" si="0"/>
        <v>0</v>
      </c>
      <c r="R7" s="5">
        <f t="shared" si="0"/>
        <v>0</v>
      </c>
      <c r="S7" s="5">
        <f t="shared" si="0"/>
        <v>0</v>
      </c>
      <c r="T7" s="5">
        <f t="shared" si="0"/>
        <v>0</v>
      </c>
      <c r="U7" s="5">
        <f t="shared" si="0"/>
        <v>0</v>
      </c>
      <c r="V7" s="5">
        <f t="shared" si="0"/>
        <v>0</v>
      </c>
      <c r="W7" s="5">
        <f t="shared" si="0"/>
        <v>0</v>
      </c>
      <c r="X7" s="5">
        <f t="shared" si="0"/>
        <v>0</v>
      </c>
      <c r="Y7" s="5">
        <f t="shared" si="0"/>
        <v>0</v>
      </c>
      <c r="Z7" s="5">
        <f t="shared" si="0"/>
        <v>0</v>
      </c>
      <c r="AA7" s="5">
        <f t="shared" si="0"/>
        <v>0</v>
      </c>
      <c r="AB7" s="5">
        <f t="shared" si="0"/>
        <v>0</v>
      </c>
      <c r="AC7" s="5">
        <f t="shared" si="0"/>
        <v>0</v>
      </c>
      <c r="AD7" s="5">
        <f t="shared" si="0"/>
        <v>0</v>
      </c>
      <c r="AE7" s="5">
        <f t="shared" si="0"/>
        <v>0</v>
      </c>
      <c r="AF7" s="5">
        <f t="shared" si="0"/>
        <v>0</v>
      </c>
      <c r="AG7" s="5">
        <f t="shared" si="0"/>
        <v>0</v>
      </c>
      <c r="AH7" s="5">
        <f t="shared" si="0"/>
        <v>0</v>
      </c>
    </row>
    <row r="8" spans="2:34" x14ac:dyDescent="0.3">
      <c r="B8" s="244" t="s">
        <v>23</v>
      </c>
      <c r="C8" s="5" t="s">
        <v>0</v>
      </c>
      <c r="D8" s="5"/>
      <c r="E8" s="5"/>
      <c r="F8" s="5">
        <v>8500</v>
      </c>
      <c r="G8" s="5">
        <v>4300</v>
      </c>
      <c r="H8" s="5"/>
      <c r="I8" s="5"/>
      <c r="J8" s="5">
        <v>12900</v>
      </c>
      <c r="K8" s="5">
        <v>4300</v>
      </c>
      <c r="L8" s="5"/>
      <c r="M8" s="5"/>
      <c r="N8" s="5">
        <v>12800</v>
      </c>
      <c r="O8" s="5">
        <v>4300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</row>
    <row r="9" spans="2:34" x14ac:dyDescent="0.3">
      <c r="B9" s="244"/>
      <c r="C9" s="5" t="s">
        <v>1</v>
      </c>
      <c r="D9" s="5"/>
      <c r="E9" s="5"/>
      <c r="F9" s="5"/>
      <c r="G9" s="5"/>
      <c r="H9" s="5"/>
      <c r="I9" s="5"/>
      <c r="J9" s="5">
        <v>0</v>
      </c>
      <c r="K9" s="5"/>
      <c r="L9" s="5"/>
      <c r="M9" s="5"/>
      <c r="N9" s="5">
        <v>0</v>
      </c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</row>
    <row r="10" spans="2:34" x14ac:dyDescent="0.3">
      <c r="B10" s="244"/>
      <c r="C10" s="5" t="s">
        <v>2</v>
      </c>
      <c r="D10" s="5"/>
      <c r="E10" s="5"/>
      <c r="F10" s="5"/>
      <c r="G10" s="5"/>
      <c r="H10" s="5"/>
      <c r="I10" s="5"/>
      <c r="J10" s="5">
        <v>0</v>
      </c>
      <c r="K10" s="5"/>
      <c r="L10" s="5"/>
      <c r="M10" s="5"/>
      <c r="N10" s="5">
        <v>0</v>
      </c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</row>
    <row r="11" spans="2:34" x14ac:dyDescent="0.3">
      <c r="B11" s="244"/>
      <c r="C11" s="5" t="s">
        <v>3</v>
      </c>
      <c r="D11" s="5"/>
      <c r="E11" s="5"/>
      <c r="F11" s="5"/>
      <c r="G11" s="5"/>
      <c r="H11" s="5"/>
      <c r="I11" s="5"/>
      <c r="J11" s="5">
        <v>0</v>
      </c>
      <c r="K11" s="5"/>
      <c r="L11" s="5"/>
      <c r="M11" s="5"/>
      <c r="N11" s="5">
        <v>0</v>
      </c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</row>
    <row r="12" spans="2:34" x14ac:dyDescent="0.3">
      <c r="B12" s="244"/>
      <c r="C12" s="5" t="s">
        <v>9</v>
      </c>
      <c r="D12" s="5">
        <f t="shared" ref="D12:AH12" si="1">SUM(D8:D11)</f>
        <v>0</v>
      </c>
      <c r="E12" s="5">
        <f t="shared" si="1"/>
        <v>0</v>
      </c>
      <c r="F12" s="5">
        <f t="shared" si="1"/>
        <v>8500</v>
      </c>
      <c r="G12" s="5">
        <f t="shared" si="1"/>
        <v>4300</v>
      </c>
      <c r="H12" s="5">
        <f t="shared" si="1"/>
        <v>0</v>
      </c>
      <c r="I12" s="5">
        <f t="shared" si="1"/>
        <v>0</v>
      </c>
      <c r="J12" s="5">
        <f t="shared" si="1"/>
        <v>12900</v>
      </c>
      <c r="K12" s="5">
        <f t="shared" si="1"/>
        <v>4300</v>
      </c>
      <c r="L12" s="5">
        <f t="shared" si="1"/>
        <v>0</v>
      </c>
      <c r="M12" s="5">
        <f t="shared" si="1"/>
        <v>0</v>
      </c>
      <c r="N12" s="5">
        <f t="shared" si="1"/>
        <v>12800</v>
      </c>
      <c r="O12" s="5">
        <f t="shared" si="1"/>
        <v>4300</v>
      </c>
      <c r="P12" s="5">
        <f t="shared" si="1"/>
        <v>0</v>
      </c>
      <c r="Q12" s="5">
        <f t="shared" si="1"/>
        <v>0</v>
      </c>
      <c r="R12" s="5">
        <f t="shared" si="1"/>
        <v>0</v>
      </c>
      <c r="S12" s="5">
        <f t="shared" si="1"/>
        <v>0</v>
      </c>
      <c r="T12" s="5">
        <f t="shared" si="1"/>
        <v>0</v>
      </c>
      <c r="U12" s="5">
        <f t="shared" si="1"/>
        <v>0</v>
      </c>
      <c r="V12" s="5">
        <f t="shared" si="1"/>
        <v>0</v>
      </c>
      <c r="W12" s="5">
        <f t="shared" si="1"/>
        <v>0</v>
      </c>
      <c r="X12" s="5">
        <f t="shared" si="1"/>
        <v>0</v>
      </c>
      <c r="Y12" s="5">
        <f t="shared" si="1"/>
        <v>0</v>
      </c>
      <c r="Z12" s="5">
        <f t="shared" si="1"/>
        <v>0</v>
      </c>
      <c r="AA12" s="5">
        <f t="shared" si="1"/>
        <v>0</v>
      </c>
      <c r="AB12" s="5">
        <f t="shared" si="1"/>
        <v>0</v>
      </c>
      <c r="AC12" s="5">
        <f t="shared" si="1"/>
        <v>0</v>
      </c>
      <c r="AD12" s="5">
        <f t="shared" si="1"/>
        <v>0</v>
      </c>
      <c r="AE12" s="5">
        <f t="shared" si="1"/>
        <v>0</v>
      </c>
      <c r="AF12" s="5">
        <f t="shared" si="1"/>
        <v>0</v>
      </c>
      <c r="AG12" s="5">
        <f t="shared" si="1"/>
        <v>0</v>
      </c>
      <c r="AH12" s="5">
        <f t="shared" si="1"/>
        <v>0</v>
      </c>
    </row>
    <row r="13" spans="2:34" x14ac:dyDescent="0.3">
      <c r="B13" s="244" t="s">
        <v>36</v>
      </c>
      <c r="C13" s="5" t="s">
        <v>0</v>
      </c>
      <c r="D13" s="5">
        <f>'Исходные данные'!$E21/'Исходные данные'!$J$4</f>
        <v>4203.333333333333</v>
      </c>
      <c r="E13" s="5">
        <f>'Исходные данные'!$E21/'Исходные данные'!$J$4</f>
        <v>4203.333333333333</v>
      </c>
      <c r="F13" s="5">
        <f>'Исходные данные'!$E21/'Исходные данные'!$J$4</f>
        <v>4203.333333333333</v>
      </c>
      <c r="G13" s="5">
        <f>'Исходные данные'!$E21/'Исходные данные'!$J$4</f>
        <v>4203.333333333333</v>
      </c>
      <c r="H13" s="5">
        <f>'Исходные данные'!$E21/'Исходные данные'!$J$4</f>
        <v>4203.333333333333</v>
      </c>
      <c r="I13" s="5">
        <f>'Исходные данные'!$E21/'Исходные данные'!$J$4</f>
        <v>4203.333333333333</v>
      </c>
      <c r="J13" s="5">
        <f>'Исходные данные'!$E21/'Исходные данные'!$J$4</f>
        <v>4203.333333333333</v>
      </c>
      <c r="K13" s="5">
        <f>'Исходные данные'!$E21/'Исходные данные'!$J$4</f>
        <v>4203.333333333333</v>
      </c>
      <c r="L13" s="5">
        <f>'Исходные данные'!$E21/'Исходные данные'!$J$4</f>
        <v>4203.333333333333</v>
      </c>
      <c r="M13" s="5">
        <f>'Исходные данные'!$E21/'Исходные данные'!$J$4</f>
        <v>4203.333333333333</v>
      </c>
      <c r="N13" s="5">
        <f>'Исходные данные'!$E21/'Исходные данные'!$J$4</f>
        <v>4203.333333333333</v>
      </c>
      <c r="O13" s="5">
        <f>'Исходные данные'!$E21/'Исходные данные'!$J$4</f>
        <v>4203.333333333333</v>
      </c>
      <c r="P13" s="5">
        <f>'Исходные данные'!$E21/'Исходные данные'!$J$4</f>
        <v>4203.333333333333</v>
      </c>
      <c r="Q13" s="5">
        <f>'Исходные данные'!$E21/'Исходные данные'!$J$4</f>
        <v>4203.333333333333</v>
      </c>
      <c r="R13" s="5">
        <f>'Исходные данные'!$E21/'Исходные данные'!$J$4</f>
        <v>4203.333333333333</v>
      </c>
      <c r="S13" s="5">
        <f>'Исходные данные'!$E21/'Исходные данные'!$J$4</f>
        <v>4203.333333333333</v>
      </c>
      <c r="T13" s="5">
        <f>'Исходные данные'!$E21/'Исходные данные'!$J$4</f>
        <v>4203.333333333333</v>
      </c>
      <c r="U13" s="5">
        <f>'Исходные данные'!$E21/'Исходные данные'!$J$4</f>
        <v>4203.333333333333</v>
      </c>
      <c r="V13" s="5">
        <f>'Исходные данные'!$E21/'Исходные данные'!$J$4</f>
        <v>4203.333333333333</v>
      </c>
      <c r="W13" s="5">
        <f>'Исходные данные'!$E21/'Исходные данные'!$J$4</f>
        <v>4203.333333333333</v>
      </c>
      <c r="X13" s="5">
        <f>'Исходные данные'!$E21/'Исходные данные'!$J$4</f>
        <v>4203.333333333333</v>
      </c>
      <c r="Y13" s="5">
        <f>'Исходные данные'!$E21/'Исходные данные'!$J$4</f>
        <v>4203.333333333333</v>
      </c>
      <c r="Z13" s="5">
        <f>'Исходные данные'!$E21/'Исходные данные'!$J$4</f>
        <v>4203.333333333333</v>
      </c>
      <c r="AA13" s="5">
        <f>'Исходные данные'!$E21/'Исходные данные'!$J$4</f>
        <v>4203.333333333333</v>
      </c>
      <c r="AB13" s="5">
        <f>'Исходные данные'!$E21/'Исходные данные'!$J$4</f>
        <v>4203.333333333333</v>
      </c>
      <c r="AC13" s="5">
        <f>'Исходные данные'!$E21/'Исходные данные'!$J$4</f>
        <v>4203.333333333333</v>
      </c>
      <c r="AD13" s="5">
        <f>'Исходные данные'!$E21/'Исходные данные'!$J$4</f>
        <v>4203.333333333333</v>
      </c>
      <c r="AE13" s="5">
        <f>'Исходные данные'!$E21/'Исходные данные'!$J$4</f>
        <v>4203.333333333333</v>
      </c>
      <c r="AF13" s="5">
        <f>'Исходные данные'!$E21/'Исходные данные'!$J$4</f>
        <v>4203.333333333333</v>
      </c>
      <c r="AG13" s="5">
        <f>'Исходные данные'!$E21/'Исходные данные'!$J$4</f>
        <v>4203.333333333333</v>
      </c>
      <c r="AH13" s="5">
        <f>'Исходные данные'!$E21/'Исходные данные'!$J$4</f>
        <v>4203.333333333333</v>
      </c>
    </row>
    <row r="14" spans="2:34" x14ac:dyDescent="0.3">
      <c r="B14" s="244"/>
      <c r="C14" s="5" t="s">
        <v>1</v>
      </c>
      <c r="D14" s="5">
        <f>'Исходные данные'!$E22/'Исходные данные'!$J$4</f>
        <v>0</v>
      </c>
      <c r="E14" s="5">
        <f>'Исходные данные'!$E22/'Исходные данные'!$J$4</f>
        <v>0</v>
      </c>
      <c r="F14" s="5">
        <f>'Исходные данные'!$E22/'Исходные данные'!$J$4</f>
        <v>0</v>
      </c>
      <c r="G14" s="5">
        <f>'Исходные данные'!$E22/'Исходные данные'!$J$4</f>
        <v>0</v>
      </c>
      <c r="H14" s="5">
        <f>'Исходные данные'!$E22/'Исходные данные'!$J$4</f>
        <v>0</v>
      </c>
      <c r="I14" s="5">
        <f>'Исходные данные'!$E22/'Исходные данные'!$J$4</f>
        <v>0</v>
      </c>
      <c r="J14" s="5">
        <f>'Исходные данные'!$E22/'Исходные данные'!$J$4</f>
        <v>0</v>
      </c>
      <c r="K14" s="5">
        <f>'Исходные данные'!$E22/'Исходные данные'!$J$4</f>
        <v>0</v>
      </c>
      <c r="L14" s="5">
        <f>'Исходные данные'!$E22/'Исходные данные'!$J$4</f>
        <v>0</v>
      </c>
      <c r="M14" s="5">
        <f>'Исходные данные'!$E22/'Исходные данные'!$J$4</f>
        <v>0</v>
      </c>
      <c r="N14" s="5">
        <f>'Исходные данные'!$E22/'Исходные данные'!$J$4</f>
        <v>0</v>
      </c>
      <c r="O14" s="5">
        <f>'Исходные данные'!$E22/'Исходные данные'!$J$4</f>
        <v>0</v>
      </c>
      <c r="P14" s="5">
        <f>'Исходные данные'!$E22/'Исходные данные'!$J$4</f>
        <v>0</v>
      </c>
      <c r="Q14" s="5">
        <f>'Исходные данные'!$E22/'Исходные данные'!$J$4</f>
        <v>0</v>
      </c>
      <c r="R14" s="5">
        <f>'Исходные данные'!$E22/'Исходные данные'!$J$4</f>
        <v>0</v>
      </c>
      <c r="S14" s="5">
        <f>'Исходные данные'!$E22/'Исходные данные'!$J$4</f>
        <v>0</v>
      </c>
      <c r="T14" s="5">
        <f>'Исходные данные'!$E22/'Исходные данные'!$J$4</f>
        <v>0</v>
      </c>
      <c r="U14" s="5">
        <f>'Исходные данные'!$E22/'Исходные данные'!$J$4</f>
        <v>0</v>
      </c>
      <c r="V14" s="5">
        <f>'Исходные данные'!$E22/'Исходные данные'!$J$4</f>
        <v>0</v>
      </c>
      <c r="W14" s="5">
        <f>'Исходные данные'!$E22/'Исходные данные'!$J$4</f>
        <v>0</v>
      </c>
      <c r="X14" s="5">
        <f>'Исходные данные'!$E22/'Исходные данные'!$J$4</f>
        <v>0</v>
      </c>
      <c r="Y14" s="5">
        <f>'Исходные данные'!$E22/'Исходные данные'!$J$4</f>
        <v>0</v>
      </c>
      <c r="Z14" s="5">
        <f>'Исходные данные'!$E22/'Исходные данные'!$J$4</f>
        <v>0</v>
      </c>
      <c r="AA14" s="5">
        <f>'Исходные данные'!$E22/'Исходные данные'!$J$4</f>
        <v>0</v>
      </c>
      <c r="AB14" s="5">
        <f>'Исходные данные'!$E22/'Исходные данные'!$J$4</f>
        <v>0</v>
      </c>
      <c r="AC14" s="5">
        <f>'Исходные данные'!$E22/'Исходные данные'!$J$4</f>
        <v>0</v>
      </c>
      <c r="AD14" s="5">
        <f>'Исходные данные'!$E22/'Исходные данные'!$J$4</f>
        <v>0</v>
      </c>
      <c r="AE14" s="5">
        <f>'Исходные данные'!$E22/'Исходные данные'!$J$4</f>
        <v>0</v>
      </c>
      <c r="AF14" s="5">
        <f>'Исходные данные'!$E22/'Исходные данные'!$J$4</f>
        <v>0</v>
      </c>
      <c r="AG14" s="5">
        <f>'Исходные данные'!$E22/'Исходные данные'!$J$4</f>
        <v>0</v>
      </c>
      <c r="AH14" s="5">
        <f>'Исходные данные'!$E22/'Исходные данные'!$J$4</f>
        <v>0</v>
      </c>
    </row>
    <row r="15" spans="2:34" x14ac:dyDescent="0.3">
      <c r="B15" s="244"/>
      <c r="C15" s="5" t="s">
        <v>2</v>
      </c>
      <c r="D15" s="5">
        <f>'Исходные данные'!$E23/'Исходные данные'!$J$4</f>
        <v>0</v>
      </c>
      <c r="E15" s="5">
        <f>'Исходные данные'!$E23/'Исходные данные'!$J$4</f>
        <v>0</v>
      </c>
      <c r="F15" s="5">
        <f>'Исходные данные'!$E23/'Исходные данные'!$J$4</f>
        <v>0</v>
      </c>
      <c r="G15" s="5">
        <f>'Исходные данные'!$E23/'Исходные данные'!$J$4</f>
        <v>0</v>
      </c>
      <c r="H15" s="5">
        <f>'Исходные данные'!$E23/'Исходные данные'!$J$4</f>
        <v>0</v>
      </c>
      <c r="I15" s="5">
        <f>'Исходные данные'!$E23/'Исходные данные'!$J$4</f>
        <v>0</v>
      </c>
      <c r="J15" s="5">
        <f>'Исходные данные'!$E23/'Исходные данные'!$J$4</f>
        <v>0</v>
      </c>
      <c r="K15" s="5">
        <f>'Исходные данные'!$E23/'Исходные данные'!$J$4</f>
        <v>0</v>
      </c>
      <c r="L15" s="5">
        <f>'Исходные данные'!$E23/'Исходные данные'!$J$4</f>
        <v>0</v>
      </c>
      <c r="M15" s="5">
        <f>'Исходные данные'!$E23/'Исходные данные'!$J$4</f>
        <v>0</v>
      </c>
      <c r="N15" s="5">
        <f>'Исходные данные'!$E23/'Исходные данные'!$J$4</f>
        <v>0</v>
      </c>
      <c r="O15" s="5">
        <f>'Исходные данные'!$E23/'Исходные данные'!$J$4</f>
        <v>0</v>
      </c>
      <c r="P15" s="5">
        <f>'Исходные данные'!$E23/'Исходные данные'!$J$4</f>
        <v>0</v>
      </c>
      <c r="Q15" s="5">
        <f>'Исходные данные'!$E23/'Исходные данные'!$J$4</f>
        <v>0</v>
      </c>
      <c r="R15" s="5">
        <f>'Исходные данные'!$E23/'Исходные данные'!$J$4</f>
        <v>0</v>
      </c>
      <c r="S15" s="5">
        <f>'Исходные данные'!$E23/'Исходные данные'!$J$4</f>
        <v>0</v>
      </c>
      <c r="T15" s="5">
        <f>'Исходные данные'!$E23/'Исходные данные'!$J$4</f>
        <v>0</v>
      </c>
      <c r="U15" s="5">
        <f>'Исходные данные'!$E23/'Исходные данные'!$J$4</f>
        <v>0</v>
      </c>
      <c r="V15" s="5">
        <f>'Исходные данные'!$E23/'Исходные данные'!$J$4</f>
        <v>0</v>
      </c>
      <c r="W15" s="5">
        <f>'Исходные данные'!$E23/'Исходные данные'!$J$4</f>
        <v>0</v>
      </c>
      <c r="X15" s="5">
        <f>'Исходные данные'!$E23/'Исходные данные'!$J$4</f>
        <v>0</v>
      </c>
      <c r="Y15" s="5">
        <f>'Исходные данные'!$E23/'Исходные данные'!$J$4</f>
        <v>0</v>
      </c>
      <c r="Z15" s="5">
        <f>'Исходные данные'!$E23/'Исходные данные'!$J$4</f>
        <v>0</v>
      </c>
      <c r="AA15" s="5">
        <f>'Исходные данные'!$E23/'Исходные данные'!$J$4</f>
        <v>0</v>
      </c>
      <c r="AB15" s="5">
        <f>'Исходные данные'!$E23/'Исходные данные'!$J$4</f>
        <v>0</v>
      </c>
      <c r="AC15" s="5">
        <f>'Исходные данные'!$E23/'Исходные данные'!$J$4</f>
        <v>0</v>
      </c>
      <c r="AD15" s="5">
        <f>'Исходные данные'!$E23/'Исходные данные'!$J$4</f>
        <v>0</v>
      </c>
      <c r="AE15" s="5">
        <f>'Исходные данные'!$E23/'Исходные данные'!$J$4</f>
        <v>0</v>
      </c>
      <c r="AF15" s="5">
        <f>'Исходные данные'!$E23/'Исходные данные'!$J$4</f>
        <v>0</v>
      </c>
      <c r="AG15" s="5">
        <f>'Исходные данные'!$E23/'Исходные данные'!$J$4</f>
        <v>0</v>
      </c>
      <c r="AH15" s="5">
        <f>'Исходные данные'!$E23/'Исходные данные'!$J$4</f>
        <v>0</v>
      </c>
    </row>
    <row r="16" spans="2:34" x14ac:dyDescent="0.3">
      <c r="B16" s="244"/>
      <c r="C16" s="5" t="s">
        <v>3</v>
      </c>
      <c r="D16" s="5">
        <f>'Исходные данные'!$E24/'Исходные данные'!$J$4</f>
        <v>0</v>
      </c>
      <c r="E16" s="5">
        <f>'Исходные данные'!$E24/'Исходные данные'!$J$4</f>
        <v>0</v>
      </c>
      <c r="F16" s="5">
        <f>'Исходные данные'!$E24/'Исходные данные'!$J$4</f>
        <v>0</v>
      </c>
      <c r="G16" s="5">
        <f>'Исходные данные'!$E24/'Исходные данные'!$J$4</f>
        <v>0</v>
      </c>
      <c r="H16" s="5">
        <f>'Исходные данные'!$E24/'Исходные данные'!$J$4</f>
        <v>0</v>
      </c>
      <c r="I16" s="5">
        <f>'Исходные данные'!$E24/'Исходные данные'!$J$4</f>
        <v>0</v>
      </c>
      <c r="J16" s="5">
        <f>'Исходные данные'!$E24/'Исходные данные'!$J$4</f>
        <v>0</v>
      </c>
      <c r="K16" s="5">
        <f>'Исходные данные'!$E24/'Исходные данные'!$J$4</f>
        <v>0</v>
      </c>
      <c r="L16" s="5">
        <f>'Исходные данные'!$E24/'Исходные данные'!$J$4</f>
        <v>0</v>
      </c>
      <c r="M16" s="5">
        <f>'Исходные данные'!$E24/'Исходные данные'!$J$4</f>
        <v>0</v>
      </c>
      <c r="N16" s="5">
        <f>'Исходные данные'!$E24/'Исходные данные'!$J$4</f>
        <v>0</v>
      </c>
      <c r="O16" s="5">
        <f>'Исходные данные'!$E24/'Исходные данные'!$J$4</f>
        <v>0</v>
      </c>
      <c r="P16" s="5">
        <f>'Исходные данные'!$E24/'Исходные данные'!$J$4</f>
        <v>0</v>
      </c>
      <c r="Q16" s="5">
        <f>'Исходные данные'!$E24/'Исходные данные'!$J$4</f>
        <v>0</v>
      </c>
      <c r="R16" s="5">
        <f>'Исходные данные'!$E24/'Исходные данные'!$J$4</f>
        <v>0</v>
      </c>
      <c r="S16" s="5">
        <f>'Исходные данные'!$E24/'Исходные данные'!$J$4</f>
        <v>0</v>
      </c>
      <c r="T16" s="5">
        <f>'Исходные данные'!$E24/'Исходные данные'!$J$4</f>
        <v>0</v>
      </c>
      <c r="U16" s="5">
        <f>'Исходные данные'!$E24/'Исходные данные'!$J$4</f>
        <v>0</v>
      </c>
      <c r="V16" s="5">
        <f>'Исходные данные'!$E24/'Исходные данные'!$J$4</f>
        <v>0</v>
      </c>
      <c r="W16" s="5">
        <f>'Исходные данные'!$E24/'Исходные данные'!$J$4</f>
        <v>0</v>
      </c>
      <c r="X16" s="5">
        <f>'Исходные данные'!$E24/'Исходные данные'!$J$4</f>
        <v>0</v>
      </c>
      <c r="Y16" s="5">
        <f>'Исходные данные'!$E24/'Исходные данные'!$J$4</f>
        <v>0</v>
      </c>
      <c r="Z16" s="5">
        <f>'Исходные данные'!$E24/'Исходные данные'!$J$4</f>
        <v>0</v>
      </c>
      <c r="AA16" s="5">
        <f>'Исходные данные'!$E24/'Исходные данные'!$J$4</f>
        <v>0</v>
      </c>
      <c r="AB16" s="5">
        <f>'Исходные данные'!$E24/'Исходные данные'!$J$4</f>
        <v>0</v>
      </c>
      <c r="AC16" s="5">
        <f>'Исходные данные'!$E24/'Исходные данные'!$J$4</f>
        <v>0</v>
      </c>
      <c r="AD16" s="5">
        <f>'Исходные данные'!$E24/'Исходные данные'!$J$4</f>
        <v>0</v>
      </c>
      <c r="AE16" s="5">
        <f>'Исходные данные'!$E24/'Исходные данные'!$J$4</f>
        <v>0</v>
      </c>
      <c r="AF16" s="5">
        <f>'Исходные данные'!$E24/'Исходные данные'!$J$4</f>
        <v>0</v>
      </c>
      <c r="AG16" s="5">
        <f>'Исходные данные'!$E24/'Исходные данные'!$J$4</f>
        <v>0</v>
      </c>
      <c r="AH16" s="5">
        <f>'Исходные данные'!$E24/'Исходные данные'!$J$4</f>
        <v>0</v>
      </c>
    </row>
    <row r="17" spans="2:34" x14ac:dyDescent="0.3">
      <c r="B17" s="244"/>
      <c r="C17" s="5" t="s">
        <v>9</v>
      </c>
      <c r="D17" s="5">
        <f>'Исходные данные'!$E25/'Исходные данные'!$J$4</f>
        <v>4203.333333333333</v>
      </c>
      <c r="E17" s="5">
        <f>'Исходные данные'!$E25/'Исходные данные'!$J$4</f>
        <v>4203.333333333333</v>
      </c>
      <c r="F17" s="5">
        <f>'Исходные данные'!$E25/'Исходные данные'!$J$4</f>
        <v>4203.333333333333</v>
      </c>
      <c r="G17" s="5">
        <f>'Исходные данные'!$E25/'Исходные данные'!$J$4</f>
        <v>4203.333333333333</v>
      </c>
      <c r="H17" s="5">
        <f>'Исходные данные'!$E25/'Исходные данные'!$J$4</f>
        <v>4203.333333333333</v>
      </c>
      <c r="I17" s="5">
        <f>'Исходные данные'!$E25/'Исходные данные'!$J$4</f>
        <v>4203.333333333333</v>
      </c>
      <c r="J17" s="5">
        <f>'Исходные данные'!$E25/'Исходные данные'!$J$4</f>
        <v>4203.333333333333</v>
      </c>
      <c r="K17" s="5">
        <f>'Исходные данные'!$E25/'Исходные данные'!$J$4</f>
        <v>4203.333333333333</v>
      </c>
      <c r="L17" s="5">
        <f>'Исходные данные'!$E25/'Исходные данные'!$J$4</f>
        <v>4203.333333333333</v>
      </c>
      <c r="M17" s="5">
        <f>'Исходные данные'!$E25/'Исходные данные'!$J$4</f>
        <v>4203.333333333333</v>
      </c>
      <c r="N17" s="5">
        <f>'Исходные данные'!$E25/'Исходные данные'!$J$4</f>
        <v>4203.333333333333</v>
      </c>
      <c r="O17" s="5">
        <f>'Исходные данные'!$E25/'Исходные данные'!$J$4</f>
        <v>4203.333333333333</v>
      </c>
      <c r="P17" s="5">
        <f>'Исходные данные'!$E25/'Исходные данные'!$J$4</f>
        <v>4203.333333333333</v>
      </c>
      <c r="Q17" s="5">
        <f>'Исходные данные'!$E25/'Исходные данные'!$J$4</f>
        <v>4203.333333333333</v>
      </c>
      <c r="R17" s="5">
        <f>'Исходные данные'!$E25/'Исходные данные'!$J$4</f>
        <v>4203.333333333333</v>
      </c>
      <c r="S17" s="5">
        <f>'Исходные данные'!$E25/'Исходные данные'!$J$4</f>
        <v>4203.333333333333</v>
      </c>
      <c r="T17" s="5">
        <f>'Исходные данные'!$E25/'Исходные данные'!$J$4</f>
        <v>4203.333333333333</v>
      </c>
      <c r="U17" s="5">
        <f>'Исходные данные'!$E25/'Исходные данные'!$J$4</f>
        <v>4203.333333333333</v>
      </c>
      <c r="V17" s="5">
        <f>'Исходные данные'!$E25/'Исходные данные'!$J$4</f>
        <v>4203.333333333333</v>
      </c>
      <c r="W17" s="5">
        <f>'Исходные данные'!$E25/'Исходные данные'!$J$4</f>
        <v>4203.333333333333</v>
      </c>
      <c r="X17" s="5">
        <f>'Исходные данные'!$E25/'Исходные данные'!$J$4</f>
        <v>4203.333333333333</v>
      </c>
      <c r="Y17" s="5">
        <f>'Исходные данные'!$E25/'Исходные данные'!$J$4</f>
        <v>4203.333333333333</v>
      </c>
      <c r="Z17" s="5">
        <f>'Исходные данные'!$E25/'Исходные данные'!$J$4</f>
        <v>4203.333333333333</v>
      </c>
      <c r="AA17" s="5">
        <f>'Исходные данные'!$E25/'Исходные данные'!$J$4</f>
        <v>4203.333333333333</v>
      </c>
      <c r="AB17" s="5">
        <f>'Исходные данные'!$E25/'Исходные данные'!$J$4</f>
        <v>4203.333333333333</v>
      </c>
      <c r="AC17" s="5">
        <f>'Исходные данные'!$E25/'Исходные данные'!$J$4</f>
        <v>4203.333333333333</v>
      </c>
      <c r="AD17" s="5">
        <f>'Исходные данные'!$E25/'Исходные данные'!$J$4</f>
        <v>4203.333333333333</v>
      </c>
      <c r="AE17" s="5">
        <f>'Исходные данные'!$E25/'Исходные данные'!$J$4</f>
        <v>4203.333333333333</v>
      </c>
      <c r="AF17" s="5">
        <f>'Исходные данные'!$E25/'Исходные данные'!$J$4</f>
        <v>4203.333333333333</v>
      </c>
      <c r="AG17" s="5">
        <f>'Исходные данные'!$E25/'Исходные данные'!$J$4</f>
        <v>4203.333333333333</v>
      </c>
      <c r="AH17" s="5">
        <f>'Исходные данные'!$E25/'Исходные данные'!$J$4</f>
        <v>4203.333333333333</v>
      </c>
    </row>
    <row r="18" spans="2:34" x14ac:dyDescent="0.3">
      <c r="B18" s="244" t="s">
        <v>35</v>
      </c>
      <c r="C18" s="5" t="s">
        <v>0</v>
      </c>
      <c r="D18" s="5"/>
      <c r="E18" s="5"/>
      <c r="F18" s="5">
        <v>11048.5</v>
      </c>
      <c r="G18" s="5">
        <v>3713</v>
      </c>
      <c r="H18" s="5"/>
      <c r="I18" s="5"/>
      <c r="J18" s="5">
        <v>14503.3</v>
      </c>
      <c r="K18" s="5">
        <v>3715</v>
      </c>
      <c r="L18" s="5"/>
      <c r="M18" s="5"/>
      <c r="N18" s="5">
        <v>11018</v>
      </c>
      <c r="O18" s="5">
        <v>3717</v>
      </c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</row>
    <row r="19" spans="2:34" x14ac:dyDescent="0.3">
      <c r="B19" s="244"/>
      <c r="C19" s="5" t="s">
        <v>1</v>
      </c>
      <c r="D19" s="5"/>
      <c r="E19" s="5"/>
      <c r="F19" s="5"/>
      <c r="G19" s="5"/>
      <c r="H19" s="5"/>
      <c r="I19" s="5"/>
      <c r="J19" s="5">
        <v>0</v>
      </c>
      <c r="K19" s="5"/>
      <c r="L19" s="5"/>
      <c r="M19" s="5"/>
      <c r="N19" s="5">
        <v>0</v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</row>
    <row r="20" spans="2:34" x14ac:dyDescent="0.3">
      <c r="B20" s="244"/>
      <c r="C20" s="5" t="s">
        <v>2</v>
      </c>
      <c r="D20" s="5"/>
      <c r="E20" s="5"/>
      <c r="F20" s="5"/>
      <c r="G20" s="5"/>
      <c r="H20" s="5"/>
      <c r="I20" s="5"/>
      <c r="J20" s="5">
        <v>0</v>
      </c>
      <c r="K20" s="5"/>
      <c r="L20" s="5"/>
      <c r="M20" s="5"/>
      <c r="N20" s="5">
        <v>0</v>
      </c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</row>
    <row r="21" spans="2:34" x14ac:dyDescent="0.3">
      <c r="B21" s="244"/>
      <c r="C21" s="5" t="s">
        <v>3</v>
      </c>
      <c r="D21" s="5"/>
      <c r="E21" s="5"/>
      <c r="F21" s="5"/>
      <c r="G21" s="5"/>
      <c r="H21" s="5"/>
      <c r="I21" s="5"/>
      <c r="J21" s="5">
        <v>0</v>
      </c>
      <c r="K21" s="5"/>
      <c r="L21" s="5"/>
      <c r="M21" s="5"/>
      <c r="N21" s="5">
        <v>0</v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</row>
    <row r="22" spans="2:34" x14ac:dyDescent="0.3">
      <c r="B22" s="244"/>
      <c r="C22" s="5" t="s">
        <v>9</v>
      </c>
      <c r="D22" s="5">
        <f t="shared" ref="D22:AH22" si="2">SUM(D18:D21)</f>
        <v>0</v>
      </c>
      <c r="E22" s="5">
        <f t="shared" si="2"/>
        <v>0</v>
      </c>
      <c r="F22" s="5">
        <f t="shared" si="2"/>
        <v>11048.5</v>
      </c>
      <c r="G22" s="5">
        <f t="shared" si="2"/>
        <v>3713</v>
      </c>
      <c r="H22" s="5">
        <f t="shared" si="2"/>
        <v>0</v>
      </c>
      <c r="I22" s="5">
        <f t="shared" si="2"/>
        <v>0</v>
      </c>
      <c r="J22" s="5">
        <f t="shared" si="2"/>
        <v>14503.3</v>
      </c>
      <c r="K22" s="5">
        <f t="shared" si="2"/>
        <v>3715</v>
      </c>
      <c r="L22" s="5">
        <f t="shared" si="2"/>
        <v>0</v>
      </c>
      <c r="M22" s="5">
        <f t="shared" si="2"/>
        <v>0</v>
      </c>
      <c r="N22" s="5">
        <f t="shared" si="2"/>
        <v>11018</v>
      </c>
      <c r="O22" s="5">
        <f t="shared" si="2"/>
        <v>3717</v>
      </c>
      <c r="P22" s="5">
        <f t="shared" si="2"/>
        <v>0</v>
      </c>
      <c r="Q22" s="5">
        <f t="shared" si="2"/>
        <v>0</v>
      </c>
      <c r="R22" s="5">
        <f t="shared" si="2"/>
        <v>0</v>
      </c>
      <c r="S22" s="5">
        <f t="shared" si="2"/>
        <v>0</v>
      </c>
      <c r="T22" s="5">
        <f t="shared" si="2"/>
        <v>0</v>
      </c>
      <c r="U22" s="5">
        <f t="shared" si="2"/>
        <v>0</v>
      </c>
      <c r="V22" s="5">
        <f t="shared" si="2"/>
        <v>0</v>
      </c>
      <c r="W22" s="5">
        <f t="shared" si="2"/>
        <v>0</v>
      </c>
      <c r="X22" s="5">
        <f t="shared" si="2"/>
        <v>0</v>
      </c>
      <c r="Y22" s="5">
        <f t="shared" si="2"/>
        <v>0</v>
      </c>
      <c r="Z22" s="5">
        <f t="shared" si="2"/>
        <v>0</v>
      </c>
      <c r="AA22" s="5">
        <f t="shared" si="2"/>
        <v>0</v>
      </c>
      <c r="AB22" s="5">
        <f t="shared" si="2"/>
        <v>0</v>
      </c>
      <c r="AC22" s="5">
        <f t="shared" si="2"/>
        <v>0</v>
      </c>
      <c r="AD22" s="5">
        <f t="shared" si="2"/>
        <v>0</v>
      </c>
      <c r="AE22" s="5">
        <f t="shared" si="2"/>
        <v>0</v>
      </c>
      <c r="AF22" s="5">
        <f t="shared" si="2"/>
        <v>0</v>
      </c>
      <c r="AG22" s="5">
        <f t="shared" si="2"/>
        <v>0</v>
      </c>
      <c r="AH22" s="5">
        <f t="shared" si="2"/>
        <v>0</v>
      </c>
    </row>
    <row r="23" spans="2:34" x14ac:dyDescent="0.3">
      <c r="B23" s="248" t="s">
        <v>60</v>
      </c>
      <c r="C23" s="249"/>
      <c r="D23" s="5"/>
      <c r="E23" s="5"/>
      <c r="F23" s="5">
        <v>60</v>
      </c>
      <c r="G23" s="5">
        <v>60</v>
      </c>
      <c r="H23" s="5"/>
      <c r="I23" s="5"/>
      <c r="J23" s="5">
        <v>60</v>
      </c>
      <c r="K23" s="5">
        <v>60</v>
      </c>
      <c r="L23" s="5"/>
      <c r="M23" s="5"/>
      <c r="N23" s="5">
        <v>60</v>
      </c>
      <c r="O23" s="5">
        <v>60</v>
      </c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</row>
    <row r="24" spans="2:34" x14ac:dyDescent="0.3">
      <c r="B24" s="245" t="s">
        <v>24</v>
      </c>
      <c r="C24" s="245"/>
      <c r="D24" s="5"/>
      <c r="E24" s="5"/>
      <c r="F24" s="5"/>
      <c r="G24" s="5"/>
      <c r="H24" s="5"/>
      <c r="I24" s="5"/>
      <c r="J24" s="5">
        <v>0</v>
      </c>
      <c r="K24" s="5"/>
      <c r="L24" s="5"/>
      <c r="M24" s="5"/>
      <c r="N24" s="5">
        <v>0</v>
      </c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</row>
    <row r="25" spans="2:34" ht="13.95" customHeight="1" x14ac:dyDescent="0.3">
      <c r="B25" s="246" t="s">
        <v>26</v>
      </c>
      <c r="C25" s="247"/>
      <c r="D25" s="5"/>
      <c r="E25" s="5"/>
      <c r="F25" s="5"/>
      <c r="G25" s="5"/>
      <c r="H25" s="5"/>
      <c r="I25" s="5"/>
      <c r="J25" s="5">
        <v>0</v>
      </c>
      <c r="K25" s="5"/>
      <c r="L25" s="5"/>
      <c r="M25" s="5"/>
      <c r="N25" s="5">
        <v>0</v>
      </c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</row>
  </sheetData>
  <mergeCells count="7">
    <mergeCell ref="B25:C25"/>
    <mergeCell ref="B3:B7"/>
    <mergeCell ref="B8:B12"/>
    <mergeCell ref="B13:B17"/>
    <mergeCell ref="B18:B22"/>
    <mergeCell ref="B24:C24"/>
    <mergeCell ref="B23:C2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B2:AH4"/>
  <sheetViews>
    <sheetView topLeftCell="F1" workbookViewId="0">
      <selection activeCell="O4" sqref="O4"/>
    </sheetView>
  </sheetViews>
  <sheetFormatPr defaultRowHeight="14.4" x14ac:dyDescent="0.3"/>
  <cols>
    <col min="2" max="2" width="4.44140625" customWidth="1"/>
    <col min="3" max="3" width="8.33203125" customWidth="1"/>
    <col min="4" max="34" width="6.6640625" customWidth="1"/>
  </cols>
  <sheetData>
    <row r="2" spans="2:34" x14ac:dyDescent="0.3">
      <c r="B2" s="36"/>
      <c r="C2" s="34" t="s">
        <v>37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6">
        <v>6</v>
      </c>
      <c r="J2" s="6">
        <v>7</v>
      </c>
      <c r="K2" s="6">
        <v>8</v>
      </c>
      <c r="L2" s="6">
        <v>9</v>
      </c>
      <c r="M2" s="6">
        <v>10</v>
      </c>
      <c r="N2" s="6">
        <v>11</v>
      </c>
      <c r="O2" s="6">
        <v>12</v>
      </c>
      <c r="P2" s="6">
        <v>13</v>
      </c>
      <c r="Q2" s="6">
        <v>14</v>
      </c>
      <c r="R2" s="6">
        <v>15</v>
      </c>
      <c r="S2" s="6">
        <v>16</v>
      </c>
      <c r="T2" s="6">
        <v>17</v>
      </c>
      <c r="U2" s="6">
        <v>18</v>
      </c>
      <c r="V2" s="6">
        <v>19</v>
      </c>
      <c r="W2" s="6">
        <v>20</v>
      </c>
      <c r="X2" s="6">
        <v>21</v>
      </c>
      <c r="Y2" s="6">
        <v>22</v>
      </c>
      <c r="Z2" s="6">
        <v>23</v>
      </c>
      <c r="AA2" s="6">
        <v>24</v>
      </c>
      <c r="AB2" s="6">
        <v>25</v>
      </c>
      <c r="AC2" s="6">
        <v>26</v>
      </c>
      <c r="AD2" s="6">
        <v>27</v>
      </c>
      <c r="AE2" s="6">
        <v>28</v>
      </c>
      <c r="AF2" s="6">
        <v>29</v>
      </c>
      <c r="AG2" s="6">
        <v>30</v>
      </c>
      <c r="AH2" s="6">
        <v>31</v>
      </c>
    </row>
    <row r="3" spans="2:34" ht="15.6" customHeight="1" x14ac:dyDescent="0.3">
      <c r="B3" s="37"/>
      <c r="C3" s="35" t="s">
        <v>6</v>
      </c>
      <c r="D3" s="5">
        <f>'Исходные данные'!$E$26/'Исходные данные'!$J$4</f>
        <v>8416.6666666666661</v>
      </c>
      <c r="E3" s="5">
        <f>'Исходные данные'!$E$26/'Исходные данные'!$J$4</f>
        <v>8416.6666666666661</v>
      </c>
      <c r="F3" s="5">
        <f>'Исходные данные'!$E$26/'Исходные данные'!$J$4</f>
        <v>8416.6666666666661</v>
      </c>
      <c r="G3" s="5">
        <f>'Исходные данные'!$E$26/'Исходные данные'!$J$4</f>
        <v>8416.6666666666661</v>
      </c>
      <c r="H3" s="5">
        <f>'Исходные данные'!$E$26/'Исходные данные'!$J$4</f>
        <v>8416.6666666666661</v>
      </c>
      <c r="I3" s="5">
        <f>'Исходные данные'!$E$26/'Исходные данные'!$J$4</f>
        <v>8416.6666666666661</v>
      </c>
      <c r="J3" s="5">
        <f>'Исходные данные'!$E$26/'Исходные данные'!$J$4</f>
        <v>8416.6666666666661</v>
      </c>
      <c r="K3" s="5">
        <f>'Исходные данные'!$E$26/'Исходные данные'!$J$4</f>
        <v>8416.6666666666661</v>
      </c>
      <c r="L3" s="5">
        <f>'Исходные данные'!$E$26/'Исходные данные'!$J$4</f>
        <v>8416.6666666666661</v>
      </c>
      <c r="M3" s="5">
        <f>'Исходные данные'!$E$26/'Исходные данные'!$J$4</f>
        <v>8416.6666666666661</v>
      </c>
      <c r="N3" s="5">
        <f>'Исходные данные'!$E$26/'Исходные данные'!$J$4</f>
        <v>8416.6666666666661</v>
      </c>
      <c r="O3" s="5">
        <f>'Исходные данные'!$E$26/'Исходные данные'!$J$4</f>
        <v>8416.6666666666661</v>
      </c>
      <c r="P3" s="5">
        <f>'Исходные данные'!$E$26/'Исходные данные'!$J$4</f>
        <v>8416.6666666666661</v>
      </c>
      <c r="Q3" s="5">
        <f>'Исходные данные'!$E$26/'Исходные данные'!$J$4</f>
        <v>8416.6666666666661</v>
      </c>
      <c r="R3" s="5">
        <f>'Исходные данные'!$E$26/'Исходные данные'!$J$4</f>
        <v>8416.6666666666661</v>
      </c>
      <c r="S3" s="5">
        <f>'Исходные данные'!$E$26/'Исходные данные'!$J$4</f>
        <v>8416.6666666666661</v>
      </c>
      <c r="T3" s="5">
        <f>'Исходные данные'!$E$26/'Исходные данные'!$J$4</f>
        <v>8416.6666666666661</v>
      </c>
      <c r="U3" s="5">
        <f>'Исходные данные'!$E$26/'Исходные данные'!$J$4</f>
        <v>8416.6666666666661</v>
      </c>
      <c r="V3" s="5">
        <f>'Исходные данные'!$E$26/'Исходные данные'!$J$4</f>
        <v>8416.6666666666661</v>
      </c>
      <c r="W3" s="5">
        <f>'Исходные данные'!$E$26/'Исходные данные'!$J$4</f>
        <v>8416.6666666666661</v>
      </c>
      <c r="X3" s="5">
        <f>'Исходные данные'!$E$26/'Исходные данные'!$J$4</f>
        <v>8416.6666666666661</v>
      </c>
      <c r="Y3" s="5">
        <f>'Исходные данные'!$E$26/'Исходные данные'!$J$4</f>
        <v>8416.6666666666661</v>
      </c>
      <c r="Z3" s="5">
        <f>'Исходные данные'!$E$26/'Исходные данные'!$J$4</f>
        <v>8416.6666666666661</v>
      </c>
      <c r="AA3" s="5">
        <f>'Исходные данные'!$E$26/'Исходные данные'!$J$4</f>
        <v>8416.6666666666661</v>
      </c>
      <c r="AB3" s="5">
        <f>'Исходные данные'!$E$26/'Исходные данные'!$J$4</f>
        <v>8416.6666666666661</v>
      </c>
      <c r="AC3" s="5">
        <f>'Исходные данные'!$E$26/'Исходные данные'!$J$4</f>
        <v>8416.6666666666661</v>
      </c>
      <c r="AD3" s="5">
        <f>'Исходные данные'!$E$26/'Исходные данные'!$J$4</f>
        <v>8416.6666666666661</v>
      </c>
      <c r="AE3" s="5">
        <f>'Исходные данные'!$E$26/'Исходные данные'!$J$4</f>
        <v>8416.6666666666661</v>
      </c>
      <c r="AF3" s="5">
        <f>'Исходные данные'!$E$26/'Исходные данные'!$J$4</f>
        <v>8416.6666666666661</v>
      </c>
      <c r="AG3" s="5">
        <f>'Исходные данные'!$E$26/'Исходные данные'!$J$4</f>
        <v>8416.6666666666661</v>
      </c>
      <c r="AH3" s="5">
        <f>'Исходные данные'!$E$26/'Исходные данные'!$J$4</f>
        <v>8416.6666666666661</v>
      </c>
    </row>
    <row r="4" spans="2:34" x14ac:dyDescent="0.3">
      <c r="B4" s="37"/>
      <c r="C4" s="35" t="s">
        <v>7</v>
      </c>
      <c r="D4" s="5"/>
      <c r="E4" s="5"/>
      <c r="F4" s="5">
        <v>18470</v>
      </c>
      <c r="G4" s="5">
        <v>3713</v>
      </c>
      <c r="H4" s="5"/>
      <c r="I4" s="5"/>
      <c r="J4" s="5">
        <v>22154.300000000003</v>
      </c>
      <c r="K4" s="5">
        <v>7417</v>
      </c>
      <c r="L4" s="5"/>
      <c r="M4" s="5"/>
      <c r="N4" s="5">
        <v>25938.099999999991</v>
      </c>
      <c r="O4" s="5">
        <v>14835.5</v>
      </c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B3:K31"/>
  <sheetViews>
    <sheetView workbookViewId="0">
      <selection activeCell="J17" sqref="J17"/>
    </sheetView>
  </sheetViews>
  <sheetFormatPr defaultRowHeight="14.4" x14ac:dyDescent="0.3"/>
  <cols>
    <col min="2" max="2" width="5" customWidth="1"/>
    <col min="4" max="4" width="11.33203125" customWidth="1"/>
    <col min="6" max="6" width="9.33203125" customWidth="1"/>
    <col min="7" max="7" width="10.6640625" customWidth="1"/>
    <col min="9" max="9" width="10.33203125" customWidth="1"/>
    <col min="11" max="11" width="10" customWidth="1"/>
    <col min="16" max="16" width="9.88671875" customWidth="1"/>
  </cols>
  <sheetData>
    <row r="3" spans="2:11" ht="15" customHeight="1" thickBot="1" x14ac:dyDescent="0.35">
      <c r="B3" s="250" t="s">
        <v>4</v>
      </c>
      <c r="C3" s="250" t="s">
        <v>5</v>
      </c>
      <c r="D3" s="250" t="s">
        <v>33</v>
      </c>
      <c r="E3" s="250" t="s">
        <v>34</v>
      </c>
      <c r="F3" s="250" t="s">
        <v>60</v>
      </c>
    </row>
    <row r="4" spans="2:11" ht="15" customHeight="1" thickBot="1" x14ac:dyDescent="0.35">
      <c r="B4" s="250"/>
      <c r="C4" s="250"/>
      <c r="D4" s="250"/>
      <c r="E4" s="250"/>
      <c r="F4" s="250"/>
      <c r="G4" s="28" t="s">
        <v>59</v>
      </c>
      <c r="H4" s="48" t="s">
        <v>89</v>
      </c>
      <c r="I4" s="28" t="s">
        <v>43</v>
      </c>
      <c r="J4" s="47">
        <v>30</v>
      </c>
      <c r="K4" s="28" t="s">
        <v>44</v>
      </c>
    </row>
    <row r="5" spans="2:11" ht="14.4" customHeight="1" x14ac:dyDescent="0.3">
      <c r="B5" s="250"/>
      <c r="C5" s="250"/>
      <c r="D5" s="250"/>
      <c r="E5" s="250"/>
      <c r="F5" s="250"/>
    </row>
    <row r="6" spans="2:11" x14ac:dyDescent="0.3">
      <c r="B6" s="251" t="s">
        <v>8</v>
      </c>
      <c r="C6" s="27" t="s">
        <v>0</v>
      </c>
      <c r="D6" s="5">
        <v>22197.77</v>
      </c>
      <c r="E6" s="5">
        <v>100100</v>
      </c>
      <c r="F6" s="51">
        <v>58.5</v>
      </c>
    </row>
    <row r="7" spans="2:11" x14ac:dyDescent="0.3">
      <c r="B7" s="251"/>
      <c r="C7" s="27" t="s">
        <v>1</v>
      </c>
      <c r="D7" s="5">
        <v>15127</v>
      </c>
      <c r="E7" s="5"/>
      <c r="F7" s="51"/>
    </row>
    <row r="8" spans="2:11" x14ac:dyDescent="0.3">
      <c r="B8" s="251"/>
      <c r="C8" s="27" t="s">
        <v>2</v>
      </c>
      <c r="D8" s="5">
        <v>0</v>
      </c>
      <c r="E8" s="5"/>
      <c r="F8" s="51"/>
    </row>
    <row r="9" spans="2:11" x14ac:dyDescent="0.3">
      <c r="B9" s="251"/>
      <c r="C9" s="27" t="s">
        <v>3</v>
      </c>
      <c r="D9" s="5">
        <v>60110</v>
      </c>
      <c r="E9" s="5"/>
      <c r="F9" s="51"/>
    </row>
    <row r="10" spans="2:11" x14ac:dyDescent="0.3">
      <c r="B10" s="251"/>
      <c r="C10" s="27" t="s">
        <v>9</v>
      </c>
      <c r="D10" s="27">
        <f>SUM(D6:D9)</f>
        <v>97434.77</v>
      </c>
      <c r="E10" s="27">
        <f>SUM(E6:E9)</f>
        <v>100100</v>
      </c>
      <c r="F10" s="57">
        <f>IF(E10=0,0,(E6*F6+E7*F7+E8*F8+E9*F9)/E10)</f>
        <v>58.5</v>
      </c>
    </row>
    <row r="11" spans="2:11" x14ac:dyDescent="0.3">
      <c r="B11" s="251" t="s">
        <v>10</v>
      </c>
      <c r="C11" s="27" t="s">
        <v>0</v>
      </c>
      <c r="D11" s="5">
        <v>47650.46</v>
      </c>
      <c r="E11" s="5">
        <v>96600</v>
      </c>
      <c r="F11" s="51">
        <v>60.7</v>
      </c>
    </row>
    <row r="12" spans="2:11" x14ac:dyDescent="0.3">
      <c r="B12" s="251"/>
      <c r="C12" s="27" t="s">
        <v>1</v>
      </c>
      <c r="D12" s="5">
        <v>0</v>
      </c>
      <c r="E12" s="5"/>
      <c r="F12" s="51"/>
    </row>
    <row r="13" spans="2:11" x14ac:dyDescent="0.3">
      <c r="B13" s="251"/>
      <c r="C13" s="27" t="s">
        <v>2</v>
      </c>
      <c r="D13" s="5">
        <v>0</v>
      </c>
      <c r="E13" s="5"/>
      <c r="F13" s="51"/>
    </row>
    <row r="14" spans="2:11" x14ac:dyDescent="0.3">
      <c r="B14" s="251"/>
      <c r="C14" s="27" t="s">
        <v>3</v>
      </c>
      <c r="D14" s="5">
        <v>231651</v>
      </c>
      <c r="E14" s="5"/>
      <c r="F14" s="51"/>
    </row>
    <row r="15" spans="2:11" x14ac:dyDescent="0.3">
      <c r="B15" s="251"/>
      <c r="C15" s="27" t="s">
        <v>9</v>
      </c>
      <c r="D15" s="27">
        <f>SUM(D11:D14)</f>
        <v>279301.46000000002</v>
      </c>
      <c r="E15" s="27">
        <f>SUM(E11:E14)</f>
        <v>96600</v>
      </c>
      <c r="F15" s="57">
        <f>IF(E15=0,0,(E11*F11+E12*F12+E13*F13+E14*F14)/E15)</f>
        <v>60.7</v>
      </c>
    </row>
    <row r="16" spans="2:11" x14ac:dyDescent="0.3">
      <c r="B16" s="251" t="s">
        <v>11</v>
      </c>
      <c r="C16" s="27" t="s">
        <v>0</v>
      </c>
      <c r="D16" s="5">
        <v>33030.730000000003</v>
      </c>
      <c r="E16" s="5">
        <v>34700</v>
      </c>
      <c r="F16" s="51">
        <v>57</v>
      </c>
    </row>
    <row r="17" spans="2:6" x14ac:dyDescent="0.3">
      <c r="B17" s="251"/>
      <c r="C17" s="27" t="s">
        <v>1</v>
      </c>
      <c r="D17" s="5">
        <v>9329</v>
      </c>
      <c r="E17" s="5"/>
      <c r="F17" s="51"/>
    </row>
    <row r="18" spans="2:6" x14ac:dyDescent="0.3">
      <c r="B18" s="251"/>
      <c r="C18" s="27" t="s">
        <v>2</v>
      </c>
      <c r="D18" s="5">
        <v>43112.39</v>
      </c>
      <c r="E18" s="5"/>
      <c r="F18" s="51"/>
    </row>
    <row r="19" spans="2:6" x14ac:dyDescent="0.3">
      <c r="B19" s="251"/>
      <c r="C19" s="27" t="s">
        <v>14</v>
      </c>
      <c r="D19" s="5">
        <v>167923</v>
      </c>
      <c r="E19" s="5"/>
      <c r="F19" s="51"/>
    </row>
    <row r="20" spans="2:6" x14ac:dyDescent="0.3">
      <c r="B20" s="251"/>
      <c r="C20" s="27" t="s">
        <v>9</v>
      </c>
      <c r="D20" s="27">
        <f>SUM(D16:D19)</f>
        <v>253395.12</v>
      </c>
      <c r="E20" s="27">
        <f>SUM(E16:E19)</f>
        <v>34700</v>
      </c>
      <c r="F20" s="57">
        <f>IF(E20=0,0,(E16*F16+E17*F17+E18*F18+E19*F19)/E20)</f>
        <v>57</v>
      </c>
    </row>
    <row r="21" spans="2:6" x14ac:dyDescent="0.3">
      <c r="B21" s="251" t="s">
        <v>12</v>
      </c>
      <c r="C21" s="27" t="s">
        <v>0</v>
      </c>
      <c r="D21" s="5">
        <v>63665.3</v>
      </c>
      <c r="E21" s="5">
        <v>126100</v>
      </c>
      <c r="F21" s="51">
        <v>60.7</v>
      </c>
    </row>
    <row r="22" spans="2:6" x14ac:dyDescent="0.3">
      <c r="B22" s="251"/>
      <c r="C22" s="27" t="s">
        <v>1</v>
      </c>
      <c r="D22" s="5">
        <v>172897.5</v>
      </c>
      <c r="E22" s="5"/>
      <c r="F22" s="51"/>
    </row>
    <row r="23" spans="2:6" x14ac:dyDescent="0.3">
      <c r="B23" s="251"/>
      <c r="C23" s="27" t="s">
        <v>2</v>
      </c>
      <c r="D23" s="5">
        <v>65397.61</v>
      </c>
      <c r="E23" s="5"/>
      <c r="F23" s="51"/>
    </row>
    <row r="24" spans="2:6" x14ac:dyDescent="0.3">
      <c r="B24" s="251"/>
      <c r="C24" s="27" t="s">
        <v>14</v>
      </c>
      <c r="D24" s="5">
        <v>185271.27</v>
      </c>
      <c r="E24" s="5"/>
      <c r="F24" s="51"/>
    </row>
    <row r="25" spans="2:6" x14ac:dyDescent="0.3">
      <c r="B25" s="251"/>
      <c r="C25" s="27" t="s">
        <v>9</v>
      </c>
      <c r="D25" s="27">
        <f>SUM(D21:D24)</f>
        <v>487231.67999999993</v>
      </c>
      <c r="E25" s="27">
        <f>SUM(E21:E24)</f>
        <v>126100</v>
      </c>
      <c r="F25" s="57">
        <f>IF(E25=0,0,(E21*F21+E22*F22+E23*F23+E24*F24)/E25)</f>
        <v>60.7</v>
      </c>
    </row>
    <row r="26" spans="2:6" x14ac:dyDescent="0.3">
      <c r="B26" s="252" t="s">
        <v>37</v>
      </c>
      <c r="C26" s="253"/>
      <c r="D26" s="27"/>
      <c r="E26" s="20">
        <v>252500</v>
      </c>
      <c r="F26" s="57"/>
    </row>
    <row r="27" spans="2:6" x14ac:dyDescent="0.3">
      <c r="B27" s="251" t="s">
        <v>13</v>
      </c>
      <c r="C27" s="27" t="s">
        <v>0</v>
      </c>
      <c r="D27" s="27">
        <f t="shared" ref="D27:E30" si="0">D6+D11+D16+D21</f>
        <v>166544.26</v>
      </c>
      <c r="E27" s="27">
        <f>E6+E11+E16+E21</f>
        <v>357500</v>
      </c>
      <c r="F27" s="106">
        <v>59.61</v>
      </c>
    </row>
    <row r="28" spans="2:6" x14ac:dyDescent="0.3">
      <c r="B28" s="251"/>
      <c r="C28" s="27" t="s">
        <v>1</v>
      </c>
      <c r="D28" s="27">
        <f t="shared" si="0"/>
        <v>197353.5</v>
      </c>
      <c r="E28" s="27">
        <f t="shared" si="0"/>
        <v>0</v>
      </c>
      <c r="F28" s="57">
        <f>IF(E28=0,0,(E7*F7+E12*F12+E17*F17+E22*F22)/E28)</f>
        <v>0</v>
      </c>
    </row>
    <row r="29" spans="2:6" x14ac:dyDescent="0.3">
      <c r="B29" s="251"/>
      <c r="C29" s="27" t="s">
        <v>2</v>
      </c>
      <c r="D29" s="27">
        <f t="shared" si="0"/>
        <v>108510</v>
      </c>
      <c r="E29" s="27">
        <f t="shared" si="0"/>
        <v>0</v>
      </c>
      <c r="F29" s="57">
        <f>IF(E29=0,0,(E8*F8+E13*F13+E18*F18+E23*F23)/E29)</f>
        <v>0</v>
      </c>
    </row>
    <row r="30" spans="2:6" x14ac:dyDescent="0.3">
      <c r="B30" s="251"/>
      <c r="C30" s="27" t="s">
        <v>14</v>
      </c>
      <c r="D30" s="27">
        <f t="shared" si="0"/>
        <v>644955.27</v>
      </c>
      <c r="E30" s="27">
        <f t="shared" si="0"/>
        <v>0</v>
      </c>
      <c r="F30" s="57">
        <f>IF(E30=0,0,(E9*F9+E14*F14+E19*F19+E24*F24)/E30)</f>
        <v>0</v>
      </c>
    </row>
    <row r="31" spans="2:6" x14ac:dyDescent="0.3">
      <c r="B31" s="251"/>
      <c r="C31" s="27" t="s">
        <v>9</v>
      </c>
      <c r="D31" s="27">
        <f>SUM(D27:D30)</f>
        <v>1117363.03</v>
      </c>
      <c r="E31" s="27">
        <f>SUM(E27:E30)</f>
        <v>357500</v>
      </c>
      <c r="F31" s="57">
        <f>IF(E31=0,0,(E27*F27+E28*F28+E29*F29+E30*F30)/E31)</f>
        <v>59.61</v>
      </c>
    </row>
  </sheetData>
  <mergeCells count="11">
    <mergeCell ref="F3:F5"/>
    <mergeCell ref="B27:B31"/>
    <mergeCell ref="D3:D5"/>
    <mergeCell ref="E3:E5"/>
    <mergeCell ref="B26:C26"/>
    <mergeCell ref="B3:B5"/>
    <mergeCell ref="C3:C5"/>
    <mergeCell ref="B6:B10"/>
    <mergeCell ref="B11:B15"/>
    <mergeCell ref="B16:B20"/>
    <mergeCell ref="B21:B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Очистка_книги">
                <anchor moveWithCells="1">
                  <from>
                    <xdr:col>12</xdr:col>
                    <xdr:colOff>22860</xdr:colOff>
                    <xdr:row>2</xdr:row>
                    <xdr:rowOff>175260</xdr:rowOff>
                  </from>
                  <to>
                    <xdr:col>13</xdr:col>
                    <xdr:colOff>68580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C3:H35"/>
  <sheetViews>
    <sheetView workbookViewId="0">
      <selection activeCell="J17" sqref="J17"/>
    </sheetView>
  </sheetViews>
  <sheetFormatPr defaultRowHeight="14.4" x14ac:dyDescent="0.3"/>
  <cols>
    <col min="7" max="7" width="11.6640625" customWidth="1"/>
  </cols>
  <sheetData>
    <row r="3" spans="3:8" ht="15" thickBot="1" x14ac:dyDescent="0.35"/>
    <row r="4" spans="3:8" ht="15" thickBot="1" x14ac:dyDescent="0.35">
      <c r="C4" s="97" t="s">
        <v>7</v>
      </c>
    </row>
    <row r="5" spans="3:8" x14ac:dyDescent="0.3">
      <c r="C5" s="98"/>
      <c r="D5" s="115"/>
      <c r="E5" s="116"/>
      <c r="F5" s="129"/>
    </row>
    <row r="6" spans="3:8" x14ac:dyDescent="0.3">
      <c r="C6" s="99"/>
      <c r="D6" s="117"/>
      <c r="E6" s="118"/>
      <c r="F6" s="130"/>
    </row>
    <row r="7" spans="3:8" x14ac:dyDescent="0.3">
      <c r="C7" s="99"/>
      <c r="D7" s="119"/>
      <c r="E7" s="120"/>
      <c r="F7" s="129"/>
      <c r="G7" s="105">
        <f>C7</f>
        <v>0</v>
      </c>
      <c r="H7" s="132">
        <f>E5</f>
        <v>0</v>
      </c>
    </row>
    <row r="8" spans="3:8" x14ac:dyDescent="0.3">
      <c r="C8" s="99"/>
      <c r="D8" s="117"/>
      <c r="E8" s="121"/>
      <c r="F8" s="130"/>
    </row>
    <row r="9" spans="3:8" x14ac:dyDescent="0.3">
      <c r="C9" s="99"/>
      <c r="D9" s="117"/>
      <c r="E9" s="122"/>
      <c r="F9" s="130"/>
    </row>
    <row r="10" spans="3:8" x14ac:dyDescent="0.3">
      <c r="C10" s="100"/>
      <c r="D10" s="119"/>
      <c r="E10" s="120"/>
      <c r="F10" s="129"/>
      <c r="G10" s="105">
        <f>C12</f>
        <v>0</v>
      </c>
      <c r="H10" s="132">
        <f>E10</f>
        <v>0</v>
      </c>
    </row>
    <row r="11" spans="3:8" x14ac:dyDescent="0.3">
      <c r="C11" s="99"/>
      <c r="D11" s="117"/>
      <c r="E11" s="118"/>
      <c r="F11" s="130"/>
    </row>
    <row r="12" spans="3:8" x14ac:dyDescent="0.3">
      <c r="C12" s="99"/>
      <c r="D12" s="119"/>
      <c r="E12" s="120"/>
      <c r="F12" s="129"/>
      <c r="G12" s="105">
        <f>C17</f>
        <v>0</v>
      </c>
      <c r="H12" s="132">
        <f>E15</f>
        <v>0</v>
      </c>
    </row>
    <row r="13" spans="3:8" x14ac:dyDescent="0.3">
      <c r="C13" s="99"/>
      <c r="D13" s="117"/>
      <c r="E13" s="121"/>
      <c r="F13" s="130"/>
    </row>
    <row r="14" spans="3:8" x14ac:dyDescent="0.3">
      <c r="C14" s="99"/>
      <c r="D14" s="117"/>
      <c r="E14" s="122"/>
      <c r="F14" s="130"/>
    </row>
    <row r="15" spans="3:8" x14ac:dyDescent="0.3">
      <c r="C15" s="100"/>
      <c r="D15" s="119"/>
      <c r="E15" s="120"/>
      <c r="F15" s="129"/>
      <c r="G15" s="105">
        <f>C22</f>
        <v>0</v>
      </c>
      <c r="H15" s="132">
        <f>E20</f>
        <v>0</v>
      </c>
    </row>
    <row r="16" spans="3:8" x14ac:dyDescent="0.3">
      <c r="C16" s="99"/>
      <c r="D16" s="117"/>
      <c r="E16" s="118"/>
      <c r="F16" s="130"/>
    </row>
    <row r="17" spans="3:6" x14ac:dyDescent="0.3">
      <c r="C17" s="99"/>
      <c r="D17" s="119"/>
      <c r="E17" s="120"/>
      <c r="F17" s="129"/>
    </row>
    <row r="18" spans="3:6" x14ac:dyDescent="0.3">
      <c r="C18" s="99"/>
      <c r="D18" s="117"/>
      <c r="E18" s="121"/>
      <c r="F18" s="130"/>
    </row>
    <row r="19" spans="3:6" x14ac:dyDescent="0.3">
      <c r="C19" s="99"/>
      <c r="D19" s="117"/>
      <c r="E19" s="122"/>
      <c r="F19" s="130"/>
    </row>
    <row r="20" spans="3:6" x14ac:dyDescent="0.3">
      <c r="C20" s="100"/>
      <c r="D20" s="119"/>
      <c r="E20" s="120"/>
      <c r="F20" s="129"/>
    </row>
    <row r="21" spans="3:6" x14ac:dyDescent="0.3">
      <c r="C21" s="99"/>
      <c r="D21" s="117"/>
      <c r="E21" s="118"/>
      <c r="F21" s="130"/>
    </row>
    <row r="22" spans="3:6" x14ac:dyDescent="0.3">
      <c r="C22" s="99"/>
      <c r="D22" s="119"/>
      <c r="E22" s="120"/>
      <c r="F22" s="129"/>
    </row>
    <row r="23" spans="3:6" x14ac:dyDescent="0.3">
      <c r="C23" s="99"/>
      <c r="D23" s="117"/>
      <c r="E23" s="123"/>
      <c r="F23" s="131"/>
    </row>
    <row r="24" spans="3:6" x14ac:dyDescent="0.3">
      <c r="C24" s="99"/>
      <c r="D24" s="117"/>
      <c r="E24" s="124"/>
      <c r="F24" s="131"/>
    </row>
    <row r="25" spans="3:6" x14ac:dyDescent="0.3">
      <c r="C25" s="100"/>
      <c r="D25" s="117"/>
      <c r="E25" s="125"/>
      <c r="F25" s="131"/>
    </row>
    <row r="26" spans="3:6" x14ac:dyDescent="0.3">
      <c r="C26" s="100"/>
      <c r="D26" s="119"/>
      <c r="E26" s="120"/>
      <c r="F26" s="129"/>
    </row>
    <row r="27" spans="3:6" x14ac:dyDescent="0.3">
      <c r="C27" s="101"/>
      <c r="D27" s="117"/>
      <c r="E27" s="126"/>
      <c r="F27" s="130"/>
    </row>
    <row r="28" spans="3:6" x14ac:dyDescent="0.3">
      <c r="C28" s="101"/>
      <c r="D28" s="117"/>
      <c r="E28" s="126"/>
      <c r="F28" s="130"/>
    </row>
    <row r="29" spans="3:6" x14ac:dyDescent="0.3">
      <c r="C29" s="100"/>
      <c r="D29" s="119"/>
      <c r="E29" s="126"/>
      <c r="F29" s="130"/>
    </row>
    <row r="30" spans="3:6" x14ac:dyDescent="0.3">
      <c r="C30" s="100"/>
      <c r="D30" s="119"/>
      <c r="E30" s="126"/>
      <c r="F30" s="130"/>
    </row>
    <row r="31" spans="3:6" x14ac:dyDescent="0.3">
      <c r="C31" s="100"/>
      <c r="D31" s="119"/>
      <c r="E31" s="126"/>
      <c r="F31" s="130"/>
    </row>
    <row r="32" spans="3:6" ht="15" thickBot="1" x14ac:dyDescent="0.35">
      <c r="C32" s="102"/>
      <c r="D32" s="127"/>
      <c r="E32" s="128"/>
      <c r="F32" s="129"/>
    </row>
    <row r="33" spans="3:3" ht="15" thickTop="1" x14ac:dyDescent="0.3">
      <c r="C33" s="103"/>
    </row>
    <row r="34" spans="3:3" x14ac:dyDescent="0.3">
      <c r="C34" s="100"/>
    </row>
    <row r="35" spans="3:3" ht="15" thickBot="1" x14ac:dyDescent="0.35">
      <c r="C35" s="104"/>
    </row>
  </sheetData>
  <conditionalFormatting sqref="C4">
    <cfRule type="cellIs" dxfId="2" priority="7" stopIfTrue="1" operator="lessThan">
      <formula>0</formula>
    </cfRule>
  </conditionalFormatting>
  <conditionalFormatting sqref="C33:C35">
    <cfRule type="cellIs" dxfId="1" priority="6" stopIfTrue="1" operator="lessThan">
      <formula>0</formula>
    </cfRule>
  </conditionalFormatting>
  <conditionalFormatting sqref="C5:F32">
    <cfRule type="cellIs" dxfId="0" priority="1" stopIfTrue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B1:AL17"/>
  <sheetViews>
    <sheetView workbookViewId="0">
      <selection activeCell="J17" sqref="J17"/>
    </sheetView>
  </sheetViews>
  <sheetFormatPr defaultRowHeight="14.4" x14ac:dyDescent="0.3"/>
  <cols>
    <col min="1" max="1" width="6.21875" customWidth="1"/>
    <col min="2" max="2" width="10.44140625" customWidth="1"/>
    <col min="3" max="33" width="2.77734375" customWidth="1"/>
    <col min="34" max="34" width="5.88671875" customWidth="1"/>
    <col min="35" max="35" width="5.44140625" customWidth="1"/>
    <col min="36" max="36" width="6.21875" customWidth="1"/>
    <col min="37" max="37" width="5.33203125" customWidth="1"/>
    <col min="38" max="38" width="5.5546875" customWidth="1"/>
  </cols>
  <sheetData>
    <row r="1" spans="2:38" ht="121.2" customHeight="1" x14ac:dyDescent="0.3"/>
    <row r="2" spans="2:38" ht="18" x14ac:dyDescent="0.35">
      <c r="B2" s="255" t="s">
        <v>77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5"/>
      <c r="P2" s="255"/>
      <c r="Q2" s="255"/>
      <c r="R2" s="255"/>
      <c r="S2" s="255"/>
      <c r="T2" s="255"/>
      <c r="U2" s="255"/>
      <c r="V2" s="255"/>
      <c r="W2" s="255"/>
      <c r="X2" s="255"/>
      <c r="Y2" s="255"/>
      <c r="Z2" s="255"/>
      <c r="AA2" s="255"/>
      <c r="AB2" s="255"/>
      <c r="AC2" s="255"/>
      <c r="AD2" s="255"/>
      <c r="AE2" s="255"/>
      <c r="AF2" s="255"/>
      <c r="AG2" s="255"/>
      <c r="AH2" s="255"/>
      <c r="AI2" s="255"/>
      <c r="AJ2" s="255"/>
      <c r="AK2" s="255"/>
      <c r="AL2" s="255"/>
    </row>
    <row r="3" spans="2:38" x14ac:dyDescent="0.3"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</row>
    <row r="4" spans="2:38" x14ac:dyDescent="0.3">
      <c r="B4" s="254"/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4"/>
      <c r="P4" s="254"/>
      <c r="Q4" s="254"/>
      <c r="R4" s="254"/>
      <c r="S4" s="254"/>
      <c r="T4" s="254"/>
      <c r="U4" s="254"/>
      <c r="V4" s="254"/>
      <c r="W4" s="254"/>
      <c r="X4" s="254"/>
      <c r="Y4" s="254"/>
      <c r="Z4" s="254"/>
      <c r="AA4" s="254"/>
      <c r="AB4" s="254"/>
      <c r="AC4" s="254"/>
      <c r="AD4" s="254"/>
      <c r="AE4" s="254"/>
      <c r="AF4" s="254"/>
      <c r="AG4" s="254"/>
      <c r="AH4" s="254"/>
      <c r="AI4" s="254"/>
      <c r="AJ4" s="254"/>
      <c r="AK4" s="254" t="s">
        <v>78</v>
      </c>
      <c r="AL4" s="254"/>
    </row>
    <row r="5" spans="2:38" x14ac:dyDescent="0.3">
      <c r="B5" s="109"/>
      <c r="C5" s="109">
        <v>1</v>
      </c>
      <c r="D5" s="109">
        <v>2</v>
      </c>
      <c r="E5" s="109">
        <v>3</v>
      </c>
      <c r="F5" s="109">
        <v>4</v>
      </c>
      <c r="G5" s="109">
        <v>5</v>
      </c>
      <c r="H5" s="109">
        <v>6</v>
      </c>
      <c r="I5" s="109">
        <v>7</v>
      </c>
      <c r="J5" s="109">
        <v>8</v>
      </c>
      <c r="K5" s="109">
        <v>9</v>
      </c>
      <c r="L5" s="109">
        <v>10</v>
      </c>
      <c r="M5" s="109">
        <v>11</v>
      </c>
      <c r="N5" s="109">
        <v>12</v>
      </c>
      <c r="O5" s="109">
        <v>13</v>
      </c>
      <c r="P5" s="109">
        <v>14</v>
      </c>
      <c r="Q5" s="109">
        <v>15</v>
      </c>
      <c r="R5" s="109">
        <v>16</v>
      </c>
      <c r="S5" s="109">
        <v>17</v>
      </c>
      <c r="T5" s="109">
        <v>18</v>
      </c>
      <c r="U5" s="109">
        <v>19</v>
      </c>
      <c r="V5" s="109">
        <v>20</v>
      </c>
      <c r="W5" s="109">
        <v>21</v>
      </c>
      <c r="X5" s="109">
        <v>22</v>
      </c>
      <c r="Y5" s="109">
        <v>23</v>
      </c>
      <c r="Z5" s="109">
        <v>24</v>
      </c>
      <c r="AA5" s="109">
        <v>25</v>
      </c>
      <c r="AB5" s="109">
        <v>26</v>
      </c>
      <c r="AC5" s="109">
        <v>27</v>
      </c>
      <c r="AD5" s="109">
        <v>28</v>
      </c>
      <c r="AE5" s="109">
        <v>29</v>
      </c>
      <c r="AF5" s="109">
        <v>30</v>
      </c>
      <c r="AG5" s="109">
        <v>31</v>
      </c>
      <c r="AH5" s="109" t="s">
        <v>73</v>
      </c>
      <c r="AI5" s="109" t="s">
        <v>74</v>
      </c>
      <c r="AJ5" s="109" t="s">
        <v>75</v>
      </c>
      <c r="AK5" s="112" t="s">
        <v>73</v>
      </c>
      <c r="AL5" s="112" t="s">
        <v>74</v>
      </c>
    </row>
    <row r="6" spans="2:38" x14ac:dyDescent="0.3">
      <c r="B6" s="109" t="s">
        <v>67</v>
      </c>
      <c r="C6" s="111">
        <v>12</v>
      </c>
      <c r="D6" s="111">
        <v>4</v>
      </c>
      <c r="E6" s="111">
        <v>8</v>
      </c>
      <c r="F6" s="111"/>
      <c r="G6" s="111"/>
      <c r="H6" s="111">
        <v>12</v>
      </c>
      <c r="I6" s="111"/>
      <c r="J6" s="111">
        <v>12</v>
      </c>
      <c r="K6" s="111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  <c r="AG6" s="111">
        <v>12</v>
      </c>
      <c r="AH6" s="110">
        <f t="shared" ref="AH6:AH11" si="0">SUM(C6:AG6)</f>
        <v>60</v>
      </c>
      <c r="AI6" s="110">
        <v>8</v>
      </c>
      <c r="AJ6" s="110">
        <v>0</v>
      </c>
      <c r="AK6" s="113">
        <v>0</v>
      </c>
      <c r="AL6" s="113">
        <v>0</v>
      </c>
    </row>
    <row r="7" spans="2:38" x14ac:dyDescent="0.3">
      <c r="B7" s="109" t="s">
        <v>68</v>
      </c>
      <c r="C7" s="111">
        <v>8</v>
      </c>
      <c r="D7" s="111"/>
      <c r="E7" s="111">
        <v>12</v>
      </c>
      <c r="F7" s="111">
        <v>4</v>
      </c>
      <c r="G7" s="111">
        <v>8</v>
      </c>
      <c r="H7" s="111"/>
      <c r="I7" s="111">
        <v>12</v>
      </c>
      <c r="J7" s="111">
        <v>4</v>
      </c>
      <c r="K7" s="111">
        <v>8</v>
      </c>
      <c r="L7" s="111"/>
      <c r="M7" s="111">
        <v>12</v>
      </c>
      <c r="N7" s="111">
        <v>4</v>
      </c>
      <c r="O7" s="111">
        <v>8</v>
      </c>
      <c r="P7" s="111">
        <v>8</v>
      </c>
      <c r="Q7" s="111">
        <v>12</v>
      </c>
      <c r="R7" s="111">
        <v>4</v>
      </c>
      <c r="S7" s="111">
        <v>8</v>
      </c>
      <c r="T7" s="111"/>
      <c r="U7" s="111">
        <v>12</v>
      </c>
      <c r="V7" s="111">
        <v>4</v>
      </c>
      <c r="W7" s="111">
        <v>8</v>
      </c>
      <c r="X7" s="111"/>
      <c r="Y7" s="111">
        <v>12</v>
      </c>
      <c r="Z7" s="111">
        <v>4</v>
      </c>
      <c r="AA7" s="111">
        <v>8</v>
      </c>
      <c r="AB7" s="111">
        <v>12</v>
      </c>
      <c r="AC7" s="111">
        <v>4</v>
      </c>
      <c r="AD7" s="111">
        <v>8</v>
      </c>
      <c r="AE7" s="111">
        <v>12</v>
      </c>
      <c r="AF7" s="111">
        <v>4</v>
      </c>
      <c r="AG7" s="111">
        <v>8</v>
      </c>
      <c r="AH7" s="110">
        <f t="shared" si="0"/>
        <v>208</v>
      </c>
      <c r="AI7" s="110">
        <v>72</v>
      </c>
      <c r="AJ7" s="110">
        <v>4</v>
      </c>
      <c r="AK7" s="113" t="s">
        <v>79</v>
      </c>
      <c r="AL7" s="113" t="s">
        <v>80</v>
      </c>
    </row>
    <row r="8" spans="2:38" x14ac:dyDescent="0.3">
      <c r="B8" s="109" t="s">
        <v>69</v>
      </c>
      <c r="C8" s="111"/>
      <c r="D8" s="111">
        <v>12</v>
      </c>
      <c r="E8" s="111">
        <v>4</v>
      </c>
      <c r="F8" s="111">
        <v>8</v>
      </c>
      <c r="G8" s="111"/>
      <c r="H8" s="111"/>
      <c r="I8" s="111">
        <v>4</v>
      </c>
      <c r="J8" s="111">
        <v>8</v>
      </c>
      <c r="K8" s="111"/>
      <c r="L8" s="111">
        <v>12</v>
      </c>
      <c r="M8" s="111">
        <v>4</v>
      </c>
      <c r="N8" s="111">
        <v>8</v>
      </c>
      <c r="O8" s="111"/>
      <c r="P8" s="111">
        <v>12</v>
      </c>
      <c r="Q8" s="111">
        <v>4</v>
      </c>
      <c r="R8" s="111">
        <v>8</v>
      </c>
      <c r="S8" s="111"/>
      <c r="T8" s="111">
        <v>12</v>
      </c>
      <c r="U8" s="111">
        <v>4</v>
      </c>
      <c r="V8" s="111">
        <v>8</v>
      </c>
      <c r="W8" s="111"/>
      <c r="X8" s="111">
        <v>12</v>
      </c>
      <c r="Y8" s="111">
        <v>4</v>
      </c>
      <c r="Z8" s="111">
        <v>8</v>
      </c>
      <c r="AA8" s="111">
        <v>12</v>
      </c>
      <c r="AB8" s="111">
        <v>4</v>
      </c>
      <c r="AC8" s="111">
        <v>8</v>
      </c>
      <c r="AD8" s="111">
        <v>12</v>
      </c>
      <c r="AE8" s="111">
        <v>4</v>
      </c>
      <c r="AF8" s="111">
        <v>8</v>
      </c>
      <c r="AG8" s="111"/>
      <c r="AH8" s="110">
        <f t="shared" si="0"/>
        <v>180</v>
      </c>
      <c r="AI8" s="110">
        <v>64</v>
      </c>
      <c r="AJ8" s="110">
        <v>8</v>
      </c>
      <c r="AK8" s="113" t="s">
        <v>80</v>
      </c>
      <c r="AL8" s="113" t="s">
        <v>80</v>
      </c>
    </row>
    <row r="9" spans="2:38" x14ac:dyDescent="0.3">
      <c r="B9" s="109" t="s">
        <v>70</v>
      </c>
      <c r="C9" s="111"/>
      <c r="D9" s="111"/>
      <c r="E9" s="111"/>
      <c r="F9" s="111"/>
      <c r="G9" s="111">
        <v>12</v>
      </c>
      <c r="H9" s="111">
        <v>4</v>
      </c>
      <c r="I9" s="111">
        <v>8</v>
      </c>
      <c r="J9" s="111"/>
      <c r="K9" s="111">
        <v>12</v>
      </c>
      <c r="L9" s="111">
        <v>4</v>
      </c>
      <c r="M9" s="111">
        <v>8</v>
      </c>
      <c r="N9" s="111"/>
      <c r="O9" s="111">
        <v>12</v>
      </c>
      <c r="P9" s="111">
        <v>4</v>
      </c>
      <c r="Q9" s="111">
        <v>8</v>
      </c>
      <c r="R9" s="111"/>
      <c r="S9" s="111">
        <v>12</v>
      </c>
      <c r="T9" s="111">
        <v>4</v>
      </c>
      <c r="U9" s="111">
        <v>8</v>
      </c>
      <c r="V9" s="111"/>
      <c r="W9" s="111">
        <v>12</v>
      </c>
      <c r="X9" s="111">
        <v>4</v>
      </c>
      <c r="Y9" s="111">
        <v>8</v>
      </c>
      <c r="Z9" s="114"/>
      <c r="AA9" s="114"/>
      <c r="AB9" s="114"/>
      <c r="AC9" s="114"/>
      <c r="AD9" s="114"/>
      <c r="AE9" s="114"/>
      <c r="AF9" s="114"/>
      <c r="AG9" s="114"/>
      <c r="AH9" s="110">
        <f t="shared" si="0"/>
        <v>120</v>
      </c>
      <c r="AI9" s="110">
        <v>40</v>
      </c>
      <c r="AJ9" s="110">
        <v>0</v>
      </c>
      <c r="AK9" s="113" t="s">
        <v>81</v>
      </c>
      <c r="AL9" s="113" t="s">
        <v>82</v>
      </c>
    </row>
    <row r="10" spans="2:38" x14ac:dyDescent="0.3">
      <c r="B10" s="109" t="s">
        <v>71</v>
      </c>
      <c r="C10" s="111">
        <v>4</v>
      </c>
      <c r="D10" s="111">
        <v>8</v>
      </c>
      <c r="E10" s="111"/>
      <c r="F10" s="111">
        <v>12</v>
      </c>
      <c r="G10" s="111">
        <v>4</v>
      </c>
      <c r="H10" s="111">
        <v>8</v>
      </c>
      <c r="I10" s="111"/>
      <c r="J10" s="111"/>
      <c r="K10" s="111">
        <v>4</v>
      </c>
      <c r="L10" s="111">
        <v>8</v>
      </c>
      <c r="M10" s="111"/>
      <c r="N10" s="111">
        <v>12</v>
      </c>
      <c r="O10" s="111">
        <v>4</v>
      </c>
      <c r="P10" s="111">
        <v>8</v>
      </c>
      <c r="Q10" s="111"/>
      <c r="R10" s="111">
        <v>12</v>
      </c>
      <c r="S10" s="111">
        <v>4</v>
      </c>
      <c r="T10" s="111">
        <v>8</v>
      </c>
      <c r="U10" s="111"/>
      <c r="V10" s="111">
        <v>12</v>
      </c>
      <c r="W10" s="111">
        <v>4</v>
      </c>
      <c r="X10" s="111">
        <v>8</v>
      </c>
      <c r="Y10" s="111"/>
      <c r="Z10" s="111">
        <v>12</v>
      </c>
      <c r="AA10" s="111">
        <v>4</v>
      </c>
      <c r="AB10" s="111">
        <v>8</v>
      </c>
      <c r="AC10" s="111">
        <v>12</v>
      </c>
      <c r="AD10" s="111">
        <v>4</v>
      </c>
      <c r="AE10" s="111">
        <v>8</v>
      </c>
      <c r="AF10" s="111">
        <v>12</v>
      </c>
      <c r="AG10" s="111">
        <v>4</v>
      </c>
      <c r="AH10" s="110">
        <f t="shared" si="0"/>
        <v>184</v>
      </c>
      <c r="AI10" s="110">
        <v>64</v>
      </c>
      <c r="AJ10" s="110">
        <v>12</v>
      </c>
      <c r="AK10" s="113" t="s">
        <v>83</v>
      </c>
      <c r="AL10" s="113" t="s">
        <v>84</v>
      </c>
    </row>
    <row r="11" spans="2:38" x14ac:dyDescent="0.3">
      <c r="B11" s="109" t="s">
        <v>72</v>
      </c>
      <c r="C11" s="111">
        <v>8</v>
      </c>
      <c r="D11" s="111">
        <v>8</v>
      </c>
      <c r="E11" s="111"/>
      <c r="F11" s="111"/>
      <c r="G11" s="111">
        <v>12</v>
      </c>
      <c r="H11" s="111">
        <v>12</v>
      </c>
      <c r="I11" s="111">
        <v>12</v>
      </c>
      <c r="J11" s="111">
        <v>8</v>
      </c>
      <c r="K11" s="111"/>
      <c r="L11" s="111"/>
      <c r="M11" s="111"/>
      <c r="N11" s="111">
        <v>12</v>
      </c>
      <c r="O11" s="111">
        <v>12</v>
      </c>
      <c r="P11" s="111">
        <v>12</v>
      </c>
      <c r="Q11" s="111"/>
      <c r="R11" s="111"/>
      <c r="S11" s="111"/>
      <c r="T11" s="111"/>
      <c r="U11" s="114"/>
      <c r="V11" s="114"/>
      <c r="W11" s="114"/>
      <c r="X11" s="114"/>
      <c r="Y11" s="114"/>
      <c r="Z11" s="114"/>
      <c r="AA11" s="114"/>
      <c r="AB11" s="114"/>
      <c r="AC11" s="114"/>
      <c r="AD11" s="114"/>
      <c r="AE11" s="114"/>
      <c r="AF11" s="114"/>
      <c r="AG11" s="114"/>
      <c r="AH11" s="110">
        <f t="shared" si="0"/>
        <v>96</v>
      </c>
      <c r="AI11" s="110">
        <v>0</v>
      </c>
      <c r="AJ11" s="110">
        <v>0</v>
      </c>
      <c r="AK11" s="113" t="s">
        <v>84</v>
      </c>
      <c r="AL11" s="113" t="s">
        <v>84</v>
      </c>
    </row>
    <row r="12" spans="2:38" x14ac:dyDescent="0.3">
      <c r="B12" s="254"/>
      <c r="C12" s="254"/>
      <c r="D12" s="254"/>
      <c r="E12" s="254"/>
      <c r="F12" s="254"/>
      <c r="G12" s="254"/>
      <c r="H12" s="254"/>
      <c r="I12" s="254"/>
      <c r="J12" s="254"/>
      <c r="K12" s="254"/>
      <c r="L12" s="254"/>
      <c r="M12" s="254"/>
      <c r="N12" s="254"/>
      <c r="O12" s="254"/>
      <c r="P12" s="254"/>
      <c r="Q12" s="254"/>
      <c r="R12" s="254"/>
      <c r="S12" s="254"/>
      <c r="T12" s="254"/>
      <c r="U12" s="254"/>
      <c r="V12" s="254"/>
      <c r="W12" s="254"/>
      <c r="X12" s="254"/>
      <c r="Y12" s="254"/>
      <c r="Z12" s="254"/>
      <c r="AA12" s="254"/>
      <c r="AB12" s="254"/>
      <c r="AC12" s="254"/>
      <c r="AD12" s="254" t="s">
        <v>76</v>
      </c>
      <c r="AE12" s="254"/>
      <c r="AF12" s="254"/>
      <c r="AG12" s="254"/>
      <c r="AH12" s="110">
        <f>SUM(AH6:AH11)</f>
        <v>848</v>
      </c>
      <c r="AI12" s="110">
        <f>SUM(AI6:AI11)</f>
        <v>248</v>
      </c>
      <c r="AJ12" s="110">
        <f>SUM(AJ6:AJ11)</f>
        <v>24</v>
      </c>
      <c r="AK12" s="113" t="s">
        <v>84</v>
      </c>
      <c r="AL12" s="113" t="s">
        <v>84</v>
      </c>
    </row>
    <row r="14" spans="2:38" x14ac:dyDescent="0.3">
      <c r="B14" t="s">
        <v>85</v>
      </c>
    </row>
    <row r="15" spans="2:38" x14ac:dyDescent="0.3">
      <c r="B15" t="s">
        <v>86</v>
      </c>
    </row>
    <row r="16" spans="2:38" x14ac:dyDescent="0.3">
      <c r="B16" t="s">
        <v>88</v>
      </c>
    </row>
    <row r="17" spans="2:2" x14ac:dyDescent="0.3">
      <c r="B17" t="s">
        <v>87</v>
      </c>
    </row>
  </sheetData>
  <mergeCells count="5">
    <mergeCell ref="AD12:AG12"/>
    <mergeCell ref="AK4:AL4"/>
    <mergeCell ref="B4:AJ4"/>
    <mergeCell ref="B12:AC12"/>
    <mergeCell ref="B2:AL2"/>
  </mergeCells>
  <pageMargins left="0.7" right="0.7" top="0.75" bottom="0.75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3:K28"/>
  <sheetViews>
    <sheetView workbookViewId="0">
      <selection activeCell="K7" sqref="K7"/>
    </sheetView>
  </sheetViews>
  <sheetFormatPr defaultColWidth="8.88671875" defaultRowHeight="14.4" x14ac:dyDescent="0.3"/>
  <cols>
    <col min="1" max="2" width="8.88671875" style="163"/>
    <col min="3" max="3" width="13.44140625" style="163" customWidth="1"/>
    <col min="4" max="4" width="8.88671875" style="163"/>
    <col min="5" max="5" width="16.33203125" style="163" customWidth="1"/>
    <col min="6" max="7" width="8.88671875" style="163"/>
    <col min="8" max="8" width="48" style="163" customWidth="1"/>
    <col min="9" max="10" width="8.88671875" style="163"/>
    <col min="11" max="11" width="11.88671875" style="163" customWidth="1"/>
    <col min="12" max="16384" width="8.88671875" style="163"/>
  </cols>
  <sheetData>
    <row r="3" spans="2:11" x14ac:dyDescent="0.3">
      <c r="J3" s="163" t="s">
        <v>95</v>
      </c>
    </row>
    <row r="4" spans="2:11" x14ac:dyDescent="0.3">
      <c r="J4" s="163" t="s">
        <v>96</v>
      </c>
      <c r="K4" s="163" t="s">
        <v>97</v>
      </c>
    </row>
    <row r="5" spans="2:11" x14ac:dyDescent="0.3">
      <c r="C5" s="164"/>
    </row>
    <row r="6" spans="2:11" x14ac:dyDescent="0.3">
      <c r="E6" s="164"/>
      <c r="J6" s="163" t="s">
        <v>98</v>
      </c>
    </row>
    <row r="7" spans="2:11" x14ac:dyDescent="0.3">
      <c r="C7" s="164"/>
      <c r="J7" s="163" t="s">
        <v>99</v>
      </c>
      <c r="K7" s="163" t="s">
        <v>100</v>
      </c>
    </row>
    <row r="8" spans="2:11" x14ac:dyDescent="0.3">
      <c r="B8" s="165"/>
    </row>
    <row r="9" spans="2:11" x14ac:dyDescent="0.3">
      <c r="B9" s="166"/>
    </row>
    <row r="10" spans="2:11" x14ac:dyDescent="0.3">
      <c r="B10" s="167"/>
      <c r="C10" s="164"/>
      <c r="J10" s="163" t="s">
        <v>101</v>
      </c>
    </row>
    <row r="11" spans="2:11" x14ac:dyDescent="0.3">
      <c r="J11" s="168" t="s">
        <v>102</v>
      </c>
    </row>
    <row r="12" spans="2:11" x14ac:dyDescent="0.3">
      <c r="B12" s="169"/>
      <c r="J12" s="170">
        <v>7161119</v>
      </c>
    </row>
    <row r="13" spans="2:11" x14ac:dyDescent="0.3">
      <c r="C13" s="164"/>
    </row>
    <row r="14" spans="2:11" x14ac:dyDescent="0.3">
      <c r="C14" s="164"/>
      <c r="E14" s="171"/>
    </row>
    <row r="16" spans="2:11" x14ac:dyDescent="0.3">
      <c r="C16" s="164"/>
    </row>
    <row r="18" spans="2:8" x14ac:dyDescent="0.3">
      <c r="C18" s="164"/>
    </row>
    <row r="19" spans="2:8" x14ac:dyDescent="0.3">
      <c r="H19" s="168"/>
    </row>
    <row r="20" spans="2:8" x14ac:dyDescent="0.3">
      <c r="C20" s="164"/>
    </row>
    <row r="21" spans="2:8" x14ac:dyDescent="0.3">
      <c r="H21" s="168"/>
    </row>
    <row r="22" spans="2:8" x14ac:dyDescent="0.3">
      <c r="C22" s="164"/>
    </row>
    <row r="23" spans="2:8" x14ac:dyDescent="0.3">
      <c r="B23" s="166"/>
    </row>
    <row r="24" spans="2:8" x14ac:dyDescent="0.3">
      <c r="C24" s="164"/>
    </row>
    <row r="25" spans="2:8" x14ac:dyDescent="0.3">
      <c r="C25" s="164"/>
    </row>
    <row r="26" spans="2:8" x14ac:dyDescent="0.3">
      <c r="C26" s="164"/>
    </row>
    <row r="27" spans="2:8" x14ac:dyDescent="0.3">
      <c r="B27" s="165"/>
    </row>
    <row r="28" spans="2:8" x14ac:dyDescent="0.3">
      <c r="C28" s="164"/>
    </row>
  </sheetData>
  <hyperlinks>
    <hyperlink ref="J11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2</vt:i4>
      </vt:variant>
    </vt:vector>
  </HeadingPairs>
  <TitlesOfParts>
    <vt:vector size="12" baseType="lpstr">
      <vt:lpstr>Сводка</vt:lpstr>
      <vt:lpstr>Т</vt:lpstr>
      <vt:lpstr>Г</vt:lpstr>
      <vt:lpstr>О</vt:lpstr>
      <vt:lpstr>Р</vt:lpstr>
      <vt:lpstr>Э</vt:lpstr>
      <vt:lpstr>Исходные данные</vt:lpstr>
      <vt:lpstr>Лист1</vt:lpstr>
      <vt:lpstr>Лист2</vt:lpstr>
      <vt:lpstr> </vt:lpstr>
      <vt:lpstr>Лист2!Область_печати</vt:lpstr>
      <vt:lpstr>Сводка!Область_печати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2019-11-12T23:19:09Z</cp:lastPrinted>
  <dcterms:created xsi:type="dcterms:W3CDTF">2019-02-25T14:39:11Z</dcterms:created>
  <dcterms:modified xsi:type="dcterms:W3CDTF">2019-11-12T23:19:11Z</dcterms:modified>
</cp:coreProperties>
</file>